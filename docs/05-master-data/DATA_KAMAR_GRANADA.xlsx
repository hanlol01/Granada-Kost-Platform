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ROOM RUKOST" sheetId="1" r:id="rId5"/>
    <sheet state="visible" name="KPI DIAGRAM RUKOST" sheetId="2" r:id="rId6"/>
    <sheet state="visible" name="DATA ROOM APARTKOST" sheetId="3" r:id="rId7"/>
    <sheet state="visible" name="KPI DIAGRAM APARTKOST" sheetId="4" r:id="rId8"/>
    <sheet state="visible" name="Sheet6" sheetId="5" r:id="rId9"/>
  </sheets>
  <definedNames>
    <definedName hidden="1" localSheetId="2" name="_xlnm._FilterDatabase">'DATA ROOM APARTKOST'!$A$1:$AO$41</definedName>
  </definedNames>
  <calcPr/>
</workbook>
</file>

<file path=xl/sharedStrings.xml><?xml version="1.0" encoding="utf-8"?>
<sst xmlns="http://schemas.openxmlformats.org/spreadsheetml/2006/main" count="183" uniqueCount="69">
  <si>
    <t>JUMLAH KAMAR</t>
  </si>
  <si>
    <t>NO. UNIT</t>
  </si>
  <si>
    <t>NO. KAMAR</t>
  </si>
  <si>
    <t>TENANT</t>
  </si>
  <si>
    <t>KELAMIN</t>
  </si>
  <si>
    <t>STATUS</t>
  </si>
  <si>
    <t>WAKTU SEWA/TAHUN</t>
  </si>
  <si>
    <t>RATE</t>
  </si>
  <si>
    <t>CHECK IN</t>
  </si>
  <si>
    <t>CHECK OUT</t>
  </si>
  <si>
    <t>TANGGAL BULAN 2026</t>
  </si>
  <si>
    <t>01 B:5 A:6 Putri</t>
  </si>
  <si>
    <t>02 B:4 A:4 Putra</t>
  </si>
  <si>
    <t>03 B:4 B:4 Putri</t>
  </si>
  <si>
    <t>04 B:3 A:4 Putra</t>
  </si>
  <si>
    <t>06 B-3 A-4 Putra</t>
  </si>
  <si>
    <t>07 B-3 A-4 Putra</t>
  </si>
  <si>
    <t>08 B-3 A-4 Putri</t>
  </si>
  <si>
    <t>09 B-3 A-3 Putri</t>
  </si>
  <si>
    <t>10 B-4 A-4 Putra</t>
  </si>
  <si>
    <t>11 B-3 A-4 Putra</t>
  </si>
  <si>
    <t>12 B-3 A-4 Putra</t>
  </si>
  <si>
    <t>13 B-5 A-6 Putri</t>
  </si>
  <si>
    <t>14 B-3 A-3 Putra</t>
  </si>
  <si>
    <t>15 B-3 A-3 Putri</t>
  </si>
  <si>
    <t>16 B-3 A-4 Putri</t>
  </si>
  <si>
    <t>17 B-5 A-5 Putri</t>
  </si>
  <si>
    <t>SEWA PERBULAN</t>
  </si>
  <si>
    <t>SEWA PERTAHUN</t>
  </si>
  <si>
    <t>Putra</t>
  </si>
  <si>
    <t>Putri</t>
  </si>
  <si>
    <t>Total Pemasukan</t>
  </si>
  <si>
    <t>Total</t>
  </si>
  <si>
    <t>Total Target</t>
  </si>
  <si>
    <t>OCCUPANCY</t>
  </si>
  <si>
    <t>VACANT READY</t>
  </si>
  <si>
    <t>INHOUSE</t>
  </si>
  <si>
    <t>REVENUE</t>
  </si>
  <si>
    <t>OUT OF ORDER</t>
  </si>
  <si>
    <t>TOTAL KAMAR</t>
  </si>
  <si>
    <t>REVENUE /GENDER</t>
  </si>
  <si>
    <t>KOST PUTRA</t>
  </si>
  <si>
    <t>PUTRA</t>
  </si>
  <si>
    <t>KOST PUTRI</t>
  </si>
  <si>
    <t>PUTRI</t>
  </si>
  <si>
    <t>TOTAL INHOUSE</t>
  </si>
  <si>
    <t>TOTAL</t>
  </si>
  <si>
    <t>LAPORAN ACHIEVMENT</t>
  </si>
  <si>
    <t>ACHIEVMENT</t>
  </si>
  <si>
    <t>TARGET</t>
  </si>
  <si>
    <t>05A PUTRI</t>
  </si>
  <si>
    <t>1 B</t>
  </si>
  <si>
    <t>2 B</t>
  </si>
  <si>
    <t>3 A</t>
  </si>
  <si>
    <t>4 A</t>
  </si>
  <si>
    <t>05B PUTRI</t>
  </si>
  <si>
    <t>05C PUTRI</t>
  </si>
  <si>
    <t>05D PUTRI</t>
  </si>
  <si>
    <t>18A PUTRA</t>
  </si>
  <si>
    <t>18B PUTRA</t>
  </si>
  <si>
    <t>18C PUTRA</t>
  </si>
  <si>
    <t>18D PUTRA</t>
  </si>
  <si>
    <t>18E PUTRA</t>
  </si>
  <si>
    <t>18F PUTRA</t>
  </si>
  <si>
    <t>VACANT</t>
  </si>
  <si>
    <t>GSH JATINANGOR 1</t>
  </si>
  <si>
    <t>Type RuKost</t>
  </si>
  <si>
    <t>Type ApartKost</t>
  </si>
  <si>
    <t>BUDGET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</si>
</sst>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p]#,##0"/>
  </numFmts>
  <fonts count="25">
    <font>
      <sz val="10.0"/>
      <color rgb="FF000000"/>
      <name val="Arial"/>
      <scheme val="minor"/>
    </font>
    <font>
      <b/>
      <i/>
      <sz val="11.0"/>
      <color rgb="FF000000"/>
      <name val="Calibri"/>
    </font>
    <font>
      <b/>
      <i/>
      <sz val="9.0"/>
      <color rgb="FF000000"/>
      <name val="Calibri"/>
    </font>
    <font/>
    <font>
      <sz val="14.0"/>
      <color rgb="FF000000"/>
      <name val="Calibri"/>
    </font>
    <font>
      <b/>
      <sz val="14.0"/>
      <color theme="1"/>
      <name val="Calibri"/>
    </font>
    <font>
      <sz val="14.0"/>
      <color theme="1"/>
      <name val="Calibri"/>
    </font>
    <font>
      <sz val="11.0"/>
      <color rgb="FF000000"/>
      <name val="Calibri"/>
    </font>
    <font>
      <b/>
      <sz val="14.0"/>
      <color rgb="FF000000"/>
      <name val="Calibri"/>
    </font>
    <font>
      <color theme="1"/>
      <name val="Arial"/>
      <scheme val="minor"/>
    </font>
    <font>
      <sz val="9.0"/>
      <color theme="1"/>
      <name val="Arial"/>
      <scheme val="minor"/>
    </font>
    <font>
      <b/>
      <color theme="0"/>
      <name val="Arial"/>
      <scheme val="minor"/>
    </font>
    <font>
      <b/>
      <sz val="13.0"/>
      <color theme="1"/>
      <name val="Arial"/>
      <scheme val="minor"/>
    </font>
    <font>
      <b/>
      <sz val="13.0"/>
      <color rgb="FFFFFFFF"/>
      <name val="Arial"/>
      <scheme val="minor"/>
    </font>
    <font>
      <b/>
      <color theme="1"/>
      <name val="Arial"/>
      <scheme val="minor"/>
    </font>
    <font>
      <b/>
      <i/>
      <sz val="12.0"/>
      <color rgb="FF000000"/>
      <name val="Calibri"/>
    </font>
    <font>
      <sz val="13.0"/>
      <color rgb="FF000000"/>
      <name val="Calibri"/>
    </font>
    <font>
      <sz val="14.0"/>
      <color theme="0"/>
      <name val="Calibri"/>
    </font>
    <font>
      <b/>
      <sz val="14.0"/>
      <color theme="0"/>
      <name val="Calibri"/>
    </font>
    <font>
      <sz val="13.0"/>
      <color theme="0"/>
      <name val="Calibri"/>
    </font>
    <font>
      <b/>
      <sz val="10.0"/>
      <color rgb="FFFFFFFF"/>
      <name val="Arial"/>
      <scheme val="minor"/>
    </font>
    <font>
      <b/>
      <sz val="12.0"/>
      <color rgb="FFFFFFFF"/>
      <name val="Arial"/>
      <scheme val="minor"/>
    </font>
    <font>
      <b/>
      <sz val="11.0"/>
      <color rgb="FFFFFFFF"/>
      <name val="Arial"/>
      <scheme val="minor"/>
    </font>
    <font>
      <b/>
      <sz val="10.0"/>
      <color theme="1"/>
      <name val="Arial"/>
      <scheme val="minor"/>
    </font>
    <font>
      <b/>
      <sz val="11.0"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AEAAAA"/>
        <bgColor rgb="FFAEAAAA"/>
      </patternFill>
    </fill>
    <fill>
      <patternFill patternType="solid">
        <fgColor rgb="FFFF99CC"/>
        <bgColor rgb="FFFF99CC"/>
      </patternFill>
    </fill>
    <fill>
      <patternFill patternType="solid">
        <fgColor rgb="FFCCFFFF"/>
        <bgColor rgb="FFCCFFFF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A9D08E"/>
        <bgColor rgb="FFA9D08E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92D050"/>
        <bgColor rgb="FF92D050"/>
      </patternFill>
    </fill>
    <fill>
      <patternFill patternType="solid">
        <fgColor theme="8"/>
        <bgColor theme="8"/>
      </patternFill>
    </fill>
    <fill>
      <patternFill patternType="solid">
        <fgColor rgb="FF3C78D8"/>
        <bgColor rgb="FF3C78D8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vertical="center" wrapText="0"/>
    </xf>
    <xf borderId="2" fillId="2" fontId="1" numFmtId="0" xfId="0" applyAlignment="1" applyBorder="1" applyFont="1">
      <alignment horizontal="center" readingOrder="0" shrinkToFit="0" wrapText="0"/>
    </xf>
    <xf borderId="0" fillId="2" fontId="1" numFmtId="0" xfId="0" applyAlignment="1" applyFont="1">
      <alignment horizontal="center" readingOrder="0" vertical="bottom"/>
    </xf>
    <xf borderId="0" fillId="2" fontId="2" numFmtId="0" xfId="0" applyAlignment="1" applyFont="1">
      <alignment horizontal="center" readingOrder="0" vertical="bottom"/>
    </xf>
    <xf borderId="0" fillId="2" fontId="1" numFmtId="164" xfId="0" applyAlignment="1" applyFont="1" applyNumberFormat="1">
      <alignment horizontal="center" readingOrder="0" vertical="bottom"/>
    </xf>
    <xf borderId="3" fillId="2" fontId="1" numFmtId="0" xfId="0" applyAlignment="1" applyBorder="1" applyFont="1">
      <alignment horizontal="center" readingOrder="0" vertical="bottom"/>
    </xf>
    <xf borderId="3" fillId="0" fontId="3" numFmtId="0" xfId="0" applyBorder="1" applyFont="1"/>
    <xf borderId="3" fillId="0" fontId="4" numFmtId="0" xfId="0" applyAlignment="1" applyBorder="1" applyFont="1">
      <alignment horizontal="center" readingOrder="0" shrinkToFit="0" vertical="bottom" wrapText="0"/>
    </xf>
    <xf borderId="4" fillId="3" fontId="5" numFmtId="0" xfId="0" applyAlignment="1" applyBorder="1" applyFill="1" applyFont="1">
      <alignment horizontal="center" readingOrder="0" shrinkToFit="0" vertical="center" wrapText="0"/>
    </xf>
    <xf borderId="5" fillId="3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shrinkToFit="0" vertical="bottom" wrapText="0"/>
    </xf>
    <xf borderId="6" fillId="0" fontId="7" numFmtId="164" xfId="0" applyAlignment="1" applyBorder="1" applyFont="1" applyNumberForma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7" fillId="0" fontId="3" numFmtId="0" xfId="0" applyBorder="1" applyFont="1"/>
    <xf borderId="6" fillId="3" fontId="6" numFmtId="0" xfId="0" applyAlignment="1" applyBorder="1" applyFont="1">
      <alignment horizontal="center" readingOrder="0" shrinkToFit="0" vertical="bottom" wrapText="0"/>
    </xf>
    <xf borderId="8" fillId="0" fontId="3" numFmtId="0" xfId="0" applyBorder="1" applyFont="1"/>
    <xf borderId="7" fillId="4" fontId="8" numFmtId="0" xfId="0" applyAlignment="1" applyBorder="1" applyFill="1" applyFont="1">
      <alignment horizontal="center" readingOrder="0" shrinkToFit="0" vertical="center" wrapText="0"/>
    </xf>
    <xf borderId="6" fillId="4" fontId="4" numFmtId="0" xfId="0" applyAlignment="1" applyBorder="1" applyFont="1">
      <alignment horizontal="center" readingOrder="0" shrinkToFit="0" vertical="bottom" wrapText="0"/>
    </xf>
    <xf borderId="7" fillId="3" fontId="8" numFmtId="0" xfId="0" applyAlignment="1" applyBorder="1" applyFont="1">
      <alignment horizontal="center" readingOrder="0" shrinkToFit="0" vertical="center" wrapText="0"/>
    </xf>
    <xf borderId="6" fillId="3" fontId="4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8" numFmtId="0" xfId="0" applyAlignment="1" applyFont="1">
      <alignment shrinkToFit="0" vertical="center" wrapText="0"/>
    </xf>
    <xf borderId="0" fillId="0" fontId="7" numFmtId="0" xfId="0" applyAlignment="1" applyFont="1">
      <alignment shrinkToFit="0" vertical="bottom" wrapText="0"/>
    </xf>
    <xf borderId="0" fillId="5" fontId="7" numFmtId="0" xfId="0" applyAlignment="1" applyFill="1" applyFont="1">
      <alignment horizontal="center" readingOrder="0" shrinkToFit="0" vertical="bottom" wrapText="0"/>
    </xf>
    <xf borderId="9" fillId="4" fontId="4" numFmtId="0" xfId="0" applyAlignment="1" applyBorder="1" applyFont="1">
      <alignment readingOrder="0" shrinkToFit="0" vertical="bottom" wrapText="0"/>
    </xf>
    <xf borderId="5" fillId="4" fontId="8" numFmtId="0" xfId="0" applyAlignment="1" applyBorder="1" applyFont="1">
      <alignment horizontal="center" readingOrder="0" shrinkToFit="0" vertical="center" wrapText="0"/>
    </xf>
    <xf borderId="0" fillId="5" fontId="7" numFmtId="164" xfId="0" applyAlignment="1" applyFont="1" applyNumberFormat="1">
      <alignment horizontal="center" readingOrder="0" shrinkToFit="0" vertical="bottom" wrapText="0"/>
    </xf>
    <xf borderId="0" fillId="5" fontId="7" numFmtId="164" xfId="0" applyAlignment="1" applyFont="1" applyNumberFormat="1">
      <alignment horizontal="center" shrinkToFit="0" vertical="bottom" wrapText="0"/>
    </xf>
    <xf borderId="10" fillId="3" fontId="4" numFmtId="0" xfId="0" applyAlignment="1" applyBorder="1" applyFont="1">
      <alignment readingOrder="0" shrinkToFit="0" vertical="bottom" wrapText="0"/>
    </xf>
    <xf borderId="6" fillId="3" fontId="8" numFmtId="0" xfId="0" applyAlignment="1" applyBorder="1" applyFont="1">
      <alignment horizontal="center" readingOrder="0" shrinkToFit="0" vertical="center" wrapText="0"/>
    </xf>
    <xf borderId="0" fillId="6" fontId="7" numFmtId="0" xfId="0" applyAlignment="1" applyFill="1" applyFont="1">
      <alignment readingOrder="0" shrinkToFit="0" vertical="bottom" wrapText="0"/>
    </xf>
    <xf borderId="0" fillId="6" fontId="7" numFmtId="164" xfId="0" applyAlignment="1" applyFont="1" applyNumberFormat="1">
      <alignment horizontal="center" shrinkToFit="0" vertical="bottom" wrapText="0"/>
    </xf>
    <xf borderId="10" fillId="7" fontId="4" numFmtId="0" xfId="0" applyAlignment="1" applyBorder="1" applyFill="1" applyFont="1">
      <alignment readingOrder="0" shrinkToFit="0" vertical="bottom" wrapText="0"/>
    </xf>
    <xf borderId="6" fillId="7" fontId="8" numFmtId="0" xfId="0" applyAlignment="1" applyBorder="1" applyFont="1">
      <alignment horizontal="center" readingOrder="0" shrinkToFit="0" vertical="center" wrapText="0"/>
    </xf>
    <xf borderId="0" fillId="6" fontId="9" numFmtId="0" xfId="0" applyAlignment="1" applyFont="1">
      <alignment readingOrder="0"/>
    </xf>
    <xf borderId="0" fillId="6" fontId="9" numFmtId="164" xfId="0" applyAlignment="1" applyFont="1" applyNumberFormat="1">
      <alignment horizontal="center"/>
    </xf>
    <xf borderId="0" fillId="0" fontId="9" numFmtId="0" xfId="0" applyAlignment="1" applyFont="1">
      <alignment vertical="center"/>
    </xf>
    <xf borderId="0" fillId="4" fontId="10" numFmtId="0" xfId="0" applyAlignment="1" applyFont="1">
      <alignment readingOrder="0"/>
    </xf>
    <xf borderId="0" fillId="4" fontId="9" numFmtId="10" xfId="0" applyAlignment="1" applyFont="1" applyNumberFormat="1">
      <alignment horizontal="center" vertical="center"/>
    </xf>
    <xf borderId="0" fillId="8" fontId="11" numFmtId="0" xfId="0" applyAlignment="1" applyFill="1" applyFont="1">
      <alignment readingOrder="0"/>
    </xf>
    <xf borderId="0" fillId="8" fontId="11" numFmtId="10" xfId="0" applyAlignment="1" applyFont="1" applyNumberFormat="1">
      <alignment horizontal="center" vertical="center"/>
    </xf>
    <xf borderId="0" fillId="4" fontId="9" numFmtId="0" xfId="0" applyAlignment="1" applyFont="1">
      <alignment horizontal="center" vertical="center"/>
    </xf>
    <xf borderId="0" fillId="8" fontId="11" numFmtId="0" xfId="0" applyAlignment="1" applyFont="1">
      <alignment horizontal="center" vertical="center"/>
    </xf>
    <xf borderId="0" fillId="8" fontId="11" numFmtId="164" xfId="0" applyFont="1" applyNumberFormat="1"/>
    <xf borderId="0" fillId="4" fontId="9" numFmtId="0" xfId="0" applyAlignment="1" applyFont="1">
      <alignment horizontal="center" readingOrder="0" vertical="center"/>
    </xf>
    <xf borderId="0" fillId="5" fontId="10" numFmtId="0" xfId="0" applyAlignment="1" applyFont="1">
      <alignment readingOrder="0"/>
    </xf>
    <xf borderId="0" fillId="5" fontId="9" numFmtId="0" xfId="0" applyAlignment="1" applyFont="1">
      <alignment horizontal="center" vertical="center"/>
    </xf>
    <xf borderId="0" fillId="9" fontId="9" numFmtId="0" xfId="0" applyAlignment="1" applyFill="1" applyFont="1">
      <alignment readingOrder="0"/>
    </xf>
    <xf borderId="0" fillId="9" fontId="9" numFmtId="0" xfId="0" applyFont="1"/>
    <xf borderId="0" fillId="10" fontId="10" numFmtId="0" xfId="0" applyAlignment="1" applyFill="1" applyFont="1">
      <alignment readingOrder="0"/>
    </xf>
    <xf borderId="0" fillId="10" fontId="9" numFmtId="0" xfId="0" applyAlignment="1" applyFont="1">
      <alignment horizontal="center" vertical="center"/>
    </xf>
    <xf borderId="0" fillId="9" fontId="9" numFmtId="164" xfId="0" applyFont="1" applyNumberFormat="1"/>
    <xf borderId="0" fillId="0" fontId="10" numFmtId="0" xfId="0" applyFont="1"/>
    <xf borderId="0" fillId="11" fontId="10" numFmtId="0" xfId="0" applyAlignment="1" applyFill="1" applyFont="1">
      <alignment readingOrder="0"/>
    </xf>
    <xf borderId="0" fillId="11" fontId="9" numFmtId="10" xfId="0" applyAlignment="1" applyFont="1" applyNumberFormat="1">
      <alignment vertical="center"/>
    </xf>
    <xf borderId="0" fillId="11" fontId="9" numFmtId="164" xfId="0" applyAlignment="1" applyFont="1" applyNumberFormat="1">
      <alignment vertical="center"/>
    </xf>
    <xf borderId="11" fillId="12" fontId="12" numFmtId="0" xfId="0" applyAlignment="1" applyBorder="1" applyFill="1" applyFont="1">
      <alignment horizontal="center"/>
    </xf>
    <xf borderId="2" fillId="12" fontId="12" numFmtId="0" xfId="0" applyAlignment="1" applyBorder="1" applyFont="1">
      <alignment horizontal="center"/>
    </xf>
    <xf borderId="11" fillId="13" fontId="13" numFmtId="0" xfId="0" applyAlignment="1" applyBorder="1" applyFill="1" applyFont="1">
      <alignment horizontal="center"/>
    </xf>
    <xf borderId="2" fillId="13" fontId="13" numFmtId="0" xfId="0" applyAlignment="1" applyBorder="1" applyFont="1">
      <alignment horizontal="center"/>
    </xf>
    <xf borderId="10" fillId="12" fontId="12" numFmtId="10" xfId="0" applyAlignment="1" applyBorder="1" applyFont="1" applyNumberFormat="1">
      <alignment horizontal="center"/>
    </xf>
    <xf borderId="6" fillId="12" fontId="12" numFmtId="164" xfId="0" applyAlignment="1" applyBorder="1" applyFont="1" applyNumberFormat="1">
      <alignment horizontal="center"/>
    </xf>
    <xf borderId="10" fillId="13" fontId="13" numFmtId="164" xfId="0" applyAlignment="1" applyBorder="1" applyFont="1" applyNumberFormat="1">
      <alignment horizontal="center"/>
    </xf>
    <xf borderId="6" fillId="13" fontId="13" numFmtId="0" xfId="0" applyAlignment="1" applyBorder="1" applyFont="1">
      <alignment horizontal="center"/>
    </xf>
    <xf borderId="12" fillId="12" fontId="14" numFmtId="0" xfId="0" applyAlignment="1" applyBorder="1" applyFont="1">
      <alignment horizontal="center"/>
    </xf>
    <xf borderId="13" fillId="12" fontId="14" numFmtId="0" xfId="0" applyAlignment="1" applyBorder="1" applyFont="1">
      <alignment horizontal="center"/>
    </xf>
    <xf borderId="0" fillId="14" fontId="9" numFmtId="0" xfId="0" applyFill="1" applyFont="1"/>
    <xf borderId="12" fillId="12" fontId="14" numFmtId="0" xfId="0" applyAlignment="1" applyBorder="1" applyFont="1">
      <alignment horizontal="center" readingOrder="0"/>
    </xf>
    <xf borderId="10" fillId="12" fontId="14" numFmtId="0" xfId="0" applyAlignment="1" applyBorder="1" applyFont="1">
      <alignment horizontal="center" readingOrder="0"/>
    </xf>
    <xf borderId="6" fillId="12" fontId="14" numFmtId="0" xfId="0" applyAlignment="1" applyBorder="1" applyFont="1">
      <alignment horizontal="center"/>
    </xf>
    <xf borderId="11" fillId="12" fontId="14" numFmtId="0" xfId="0" applyAlignment="1" applyBorder="1" applyFont="1">
      <alignment horizontal="center" readingOrder="0"/>
    </xf>
    <xf borderId="2" fillId="12" fontId="14" numFmtId="164" xfId="0" applyAlignment="1" applyBorder="1" applyFont="1" applyNumberFormat="1">
      <alignment horizontal="center"/>
    </xf>
    <xf borderId="6" fillId="12" fontId="14" numFmtId="164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 readingOrder="0" shrinkToFit="0" vertical="bottom" wrapText="0"/>
    </xf>
    <xf borderId="2" fillId="2" fontId="15" numFmtId="0" xfId="0" applyAlignment="1" applyBorder="1" applyFont="1">
      <alignment horizontal="center" readingOrder="0" shrinkToFit="0" vertical="center" wrapText="0"/>
    </xf>
    <xf borderId="2" fillId="2" fontId="15" numFmtId="0" xfId="0" applyAlignment="1" applyBorder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vertical="center"/>
    </xf>
    <xf borderId="3" fillId="0" fontId="7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shrinkToFit="0" vertical="center" wrapText="0"/>
    </xf>
    <xf borderId="7" fillId="3" fontId="5" numFmtId="0" xfId="0" applyAlignment="1" applyBorder="1" applyFont="1">
      <alignment horizontal="center" readingOrder="0" shrinkToFit="0" vertical="center" wrapText="0"/>
    </xf>
    <xf borderId="7" fillId="4" fontId="5" numFmtId="0" xfId="0" applyAlignment="1" applyBorder="1" applyFont="1">
      <alignment horizontal="center" readingOrder="0" shrinkToFit="0" vertical="center" wrapText="0"/>
    </xf>
    <xf borderId="6" fillId="4" fontId="6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center" shrinkToFit="0" vertical="center" wrapText="0"/>
    </xf>
    <xf borderId="0" fillId="0" fontId="7" numFmtId="164" xfId="0" applyAlignment="1" applyFont="1" applyNumberFormat="1">
      <alignment shrinkToFit="0" vertical="bottom" wrapText="0"/>
    </xf>
    <xf borderId="9" fillId="4" fontId="7" numFmtId="0" xfId="0" applyAlignment="1" applyBorder="1" applyFont="1">
      <alignment readingOrder="0" shrinkToFit="0" vertical="bottom" wrapText="0"/>
    </xf>
    <xf borderId="10" fillId="3" fontId="7" numFmtId="0" xfId="0" applyAlignment="1" applyBorder="1" applyFont="1">
      <alignment readingOrder="0" shrinkToFit="0" vertical="bottom" wrapText="0"/>
    </xf>
    <xf borderId="10" fillId="12" fontId="7" numFmtId="0" xfId="0" applyAlignment="1" applyBorder="1" applyFont="1">
      <alignment readingOrder="0" shrinkToFit="0" vertical="bottom" wrapText="0"/>
    </xf>
    <xf borderId="6" fillId="12" fontId="8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vertical="bottom" wrapText="0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readingOrder="0"/>
    </xf>
    <xf borderId="0" fillId="0" fontId="9" numFmtId="164" xfId="0" applyFont="1" applyNumberFormat="1"/>
    <xf borderId="0" fillId="4" fontId="9" numFmtId="0" xfId="0" applyAlignment="1" applyFont="1">
      <alignment readingOrder="0"/>
    </xf>
    <xf borderId="0" fillId="8" fontId="11" numFmtId="164" xfId="0" applyAlignment="1" applyFont="1" applyNumberFormat="1">
      <alignment horizontal="center" vertical="center"/>
    </xf>
    <xf borderId="0" fillId="5" fontId="9" numFmtId="0" xfId="0" applyAlignment="1" applyFont="1">
      <alignment readingOrder="0"/>
    </xf>
    <xf borderId="0" fillId="9" fontId="9" numFmtId="0" xfId="0" applyAlignment="1" applyFont="1">
      <alignment horizontal="center" vertical="center"/>
    </xf>
    <xf borderId="0" fillId="10" fontId="9" numFmtId="0" xfId="0" applyAlignment="1" applyFont="1">
      <alignment readingOrder="0"/>
    </xf>
    <xf borderId="0" fillId="9" fontId="9" numFmtId="164" xfId="0" applyAlignment="1" applyFont="1" applyNumberFormat="1">
      <alignment horizontal="center" vertical="center"/>
    </xf>
    <xf borderId="0" fillId="11" fontId="9" numFmtId="0" xfId="0" applyAlignment="1" applyFont="1">
      <alignment readingOrder="0"/>
    </xf>
    <xf borderId="0" fillId="14" fontId="9" numFmtId="0" xfId="0" applyAlignment="1" applyFont="1">
      <alignment horizontal="center"/>
    </xf>
    <xf borderId="0" fillId="14" fontId="14" numFmtId="0" xfId="0" applyAlignment="1" applyFont="1">
      <alignment horizontal="center"/>
    </xf>
    <xf borderId="0" fillId="0" fontId="14" numFmtId="0" xfId="0" applyAlignment="1" applyFont="1">
      <alignment readingOrder="0"/>
    </xf>
    <xf borderId="0" fillId="0" fontId="14" numFmtId="0" xfId="0" applyAlignment="1" applyFont="1">
      <alignment horizontal="center" readingOrder="0"/>
    </xf>
    <xf borderId="9" fillId="4" fontId="16" numFmtId="0" xfId="0" applyAlignment="1" applyBorder="1" applyFont="1">
      <alignment readingOrder="0" shrinkToFit="0" vertical="bottom" wrapText="0"/>
    </xf>
    <xf borderId="10" fillId="3" fontId="16" numFmtId="0" xfId="0" applyAlignment="1" applyBorder="1" applyFont="1">
      <alignment readingOrder="0" shrinkToFit="0" vertical="bottom" wrapText="0"/>
    </xf>
    <xf borderId="10" fillId="15" fontId="17" numFmtId="0" xfId="0" applyAlignment="1" applyBorder="1" applyFill="1" applyFont="1">
      <alignment readingOrder="0" shrinkToFit="0" vertical="bottom" wrapText="0"/>
    </xf>
    <xf borderId="6" fillId="15" fontId="18" numFmtId="0" xfId="0" applyAlignment="1" applyBorder="1" applyFont="1">
      <alignment horizontal="center" readingOrder="0" shrinkToFit="0" vertical="center" wrapText="0"/>
    </xf>
    <xf borderId="10" fillId="15" fontId="19" numFmtId="0" xfId="0" applyAlignment="1" applyBorder="1" applyFont="1">
      <alignment readingOrder="0" shrinkToFit="0" vertical="bottom" wrapText="0"/>
    </xf>
    <xf borderId="11" fillId="13" fontId="20" numFmtId="0" xfId="0" applyAlignment="1" applyBorder="1" applyFont="1">
      <alignment horizontal="center" readingOrder="0"/>
    </xf>
    <xf borderId="2" fillId="0" fontId="3" numFmtId="0" xfId="0" applyBorder="1" applyFont="1"/>
    <xf borderId="10" fillId="13" fontId="21" numFmtId="164" xfId="0" applyAlignment="1" applyBorder="1" applyFont="1" applyNumberFormat="1">
      <alignment horizontal="center"/>
    </xf>
    <xf borderId="6" fillId="0" fontId="3" numFmtId="0" xfId="0" applyBorder="1" applyFont="1"/>
    <xf borderId="10" fillId="13" fontId="22" numFmtId="164" xfId="0" applyAlignment="1" applyBorder="1" applyFont="1" applyNumberFormat="1">
      <alignment horizontal="center"/>
    </xf>
    <xf borderId="11" fillId="12" fontId="23" numFmtId="0" xfId="0" applyAlignment="1" applyBorder="1" applyFont="1">
      <alignment horizontal="center" readingOrder="0"/>
    </xf>
    <xf borderId="2" fillId="12" fontId="23" numFmtId="10" xfId="0" applyAlignment="1" applyBorder="1" applyFont="1" applyNumberFormat="1">
      <alignment horizontal="center"/>
    </xf>
    <xf borderId="0" fillId="16" fontId="9" numFmtId="0" xfId="0" applyFill="1" applyFont="1"/>
    <xf borderId="10" fillId="12" fontId="23" numFmtId="0" xfId="0" applyAlignment="1" applyBorder="1" applyFont="1">
      <alignment horizontal="center" readingOrder="0"/>
    </xf>
    <xf borderId="6" fillId="12" fontId="24" numFmtId="164" xfId="0" applyAlignment="1" applyBorder="1" applyFont="1" applyNumberFormat="1">
      <alignment horizontal="center"/>
    </xf>
    <xf borderId="6" fillId="12" fontId="23" numFmtId="164" xfId="0" applyAlignment="1" applyBorder="1" applyFont="1" applyNumberFormat="1">
      <alignment horizontal="center"/>
    </xf>
    <xf borderId="12" fillId="12" fontId="23" numFmtId="0" xfId="0" applyAlignment="1" applyBorder="1" applyFont="1">
      <alignment horizontal="center" readingOrder="0"/>
    </xf>
    <xf borderId="13" fillId="12" fontId="23" numFmtId="0" xfId="0" applyAlignment="1" applyBorder="1" applyFont="1">
      <alignment horizontal="center"/>
    </xf>
    <xf borderId="6" fillId="12" fontId="23" numFmtId="0" xfId="0" applyAlignment="1" applyBorder="1" applyFont="1">
      <alignment horizontal="center"/>
    </xf>
    <xf borderId="13" fillId="12" fontId="23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'DATA ROOM RUKOST'!$A$132:$A$134</c:f>
            </c:strRef>
          </c:cat>
          <c:val>
            <c:numRef>
              <c:f>'DATA ROOM RUKOST'!$B$132:$B$134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'DATA ROOM RUKOST'!$A$136:$A$137</c:f>
            </c:strRef>
          </c:cat>
          <c:val>
            <c:numRef>
              <c:f>'DATA ROOM RUKOST'!$B$136:$B$137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'DATA ROOM RUKOST'!$A$141:$A$142</c:f>
            </c:strRef>
          </c:cat>
          <c:val>
            <c:numRef>
              <c:f>'DATA ROOM RUKOST'!$B$141:$B$142</c:f>
              <c:numCache/>
            </c:numRef>
          </c:val>
        </c:ser>
        <c:axId val="1186674905"/>
        <c:axId val="1845187307"/>
      </c:barChart>
      <c:catAx>
        <c:axId val="118667490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5187307"/>
      </c:catAx>
      <c:valAx>
        <c:axId val="18451873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667490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>
                  <a:alpha val="0"/>
                </a:srgbClr>
              </a:solidFill>
            </a:ln>
          </c:spPr>
          <c:cat>
            <c:strRef>
              <c:f>'DATA ROOM RUKOST'!$C$136:$C$137</c:f>
            </c:strRef>
          </c:cat>
          <c:val>
            <c:numRef>
              <c:f>'DATA ROOM RUKOST'!$D$136:$D$137</c:f>
              <c:numCache/>
            </c:numRef>
          </c:val>
        </c:ser>
        <c:axId val="209744062"/>
        <c:axId val="2068380896"/>
      </c:barChart>
      <c:catAx>
        <c:axId val="2097440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8380896"/>
      </c:catAx>
      <c:valAx>
        <c:axId val="20683808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2097440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28665207877461695"/>
          <c:y val="0.1611111111111111"/>
          <c:w val="0.9527352297592997"/>
          <c:h val="0.6298245614035088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CC0000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92D050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2"/>
            <c:explosion val="0"/>
            <c:spPr>
              <a:solidFill>
                <a:srgbClr val="FBBC04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'DATA ROOM APARTKOST'!$A$48:$A$50</c:f>
            </c:strRef>
          </c:cat>
          <c:val>
            <c:numRef>
              <c:f>'DATA ROOM APARTKOST'!$B$48:$B$50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layout>
        <c:manualLayout>
          <c:xMode val="edge"/>
          <c:yMode val="edge"/>
          <c:x val="-0.21444201312910285"/>
          <c:y val="0.005847953216374269"/>
        </c:manualLayout>
      </c:layout>
      <c:overlay val="0"/>
      <c:txPr>
        <a:bodyPr/>
        <a:lstStyle/>
        <a:p>
          <a:pPr lvl="0">
            <a:defRPr b="0">
              <a:solidFill>
                <a:schemeClr val="lt1"/>
              </a:solidFill>
              <a:latin typeface="Arial black"/>
            </a:defRPr>
          </a:pPr>
        </a:p>
      </c:txPr>
    </c:legend>
    <c:plotVisOnly val="1"/>
  </c:chart>
  <c:spPr>
    <a:solidFill>
      <a:schemeClr val="accent1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34722222222222224"/>
          <c:y val="0.097953216374269"/>
          <c:w val="0.9273809523809523"/>
          <c:h val="0.7584795321637426"/>
        </c:manualLayout>
      </c:layout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CCFFFF"/>
              </a:solidFill>
              <a:ln cmpd="sng" w="9525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FF99CC"/>
              </a:solidFill>
              <a:ln cmpd="sng" w="9525">
                <a:solidFill>
                  <a:schemeClr val="lt1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'DATA ROOM APARTKOST'!$A$52:$A$53</c:f>
            </c:strRef>
          </c:cat>
          <c:val>
            <c:numRef>
              <c:f>'DATA ROOM APARTKOST'!$B$52:$B$53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chemeClr val="lt1"/>
              </a:solidFill>
              <a:latin typeface="Arial black"/>
            </a:defRPr>
          </a:pPr>
        </a:p>
      </c:txPr>
    </c:legend>
    <c:plotVisOnly val="1"/>
  </c:chart>
  <c:spPr>
    <a:solidFill>
      <a:schemeClr val="accent1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chemeClr val="lt1"/>
              </a:solidFill>
            </a:ln>
          </c:spPr>
          <c:dPt>
            <c:idx val="0"/>
            <c:spPr>
              <a:solidFill>
                <a:srgbClr val="92D050"/>
              </a:solidFill>
              <a:ln cmpd="sng">
                <a:solidFill>
                  <a:schemeClr val="lt1"/>
                </a:solidFill>
              </a:ln>
            </c:spPr>
          </c:dPt>
          <c:dPt>
            <c:idx val="1"/>
            <c:spPr>
              <a:solidFill>
                <a:srgbClr val="E69138"/>
              </a:solidFill>
              <a:ln cmpd="sng">
                <a:solidFill>
                  <a:schemeClr val="lt1"/>
                </a:solidFill>
              </a:ln>
            </c:spPr>
          </c:dPt>
          <c:cat>
            <c:strRef>
              <c:f>'DATA ROOM APARTKOST'!$A$57:$A$58</c:f>
            </c:strRef>
          </c:cat>
          <c:val>
            <c:numRef>
              <c:f>'DATA ROOM APARTKOST'!$B$57:$B$58</c:f>
              <c:numCache/>
            </c:numRef>
          </c:val>
        </c:ser>
        <c:axId val="1021019867"/>
        <c:axId val="947944362"/>
      </c:barChart>
      <c:catAx>
        <c:axId val="102101986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000">
                <a:solidFill>
                  <a:schemeClr val="lt1"/>
                </a:solidFill>
                <a:latin typeface="+mn-lt"/>
              </a:defRPr>
            </a:pPr>
          </a:p>
        </c:txPr>
        <c:crossAx val="947944362"/>
      </c:catAx>
      <c:valAx>
        <c:axId val="9479443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chemeClr val="lt1"/>
                </a:solidFill>
                <a:latin typeface="+mn-lt"/>
              </a:defRPr>
            </a:pPr>
          </a:p>
        </c:txPr>
        <c:crossAx val="102101986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accent1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CFFFF"/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dPt>
          <c:dPt>
            <c:idx val="1"/>
            <c:spPr>
              <a:solidFill>
                <a:srgbClr val="FF99CC"/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dPt>
          <c:cat>
            <c:strRef>
              <c:f>'DATA ROOM APARTKOST'!$C$52:$C$53</c:f>
            </c:strRef>
          </c:cat>
          <c:val>
            <c:numRef>
              <c:f>'DATA ROOM APARTKOST'!$D$52:$D$53</c:f>
              <c:numCache/>
            </c:numRef>
          </c:val>
        </c:ser>
        <c:axId val="25193587"/>
        <c:axId val="725662673"/>
      </c:barChart>
      <c:catAx>
        <c:axId val="25193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chemeClr val="lt1"/>
                </a:solidFill>
                <a:latin typeface="+mn-lt"/>
              </a:defRPr>
            </a:pPr>
          </a:p>
        </c:txPr>
        <c:crossAx val="725662673"/>
      </c:catAx>
      <c:valAx>
        <c:axId val="7256626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chemeClr val="lt1"/>
                </a:solidFill>
                <a:latin typeface="+mn-lt"/>
              </a:defRPr>
            </a:pPr>
          </a:p>
        </c:txPr>
        <c:crossAx val="251935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accent1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838575" cy="223837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238125</xdr:colOff>
      <xdr:row>0</xdr:row>
      <xdr:rowOff>0</xdr:rowOff>
    </xdr:from>
    <xdr:ext cx="3619500" cy="2238375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657225</xdr:colOff>
      <xdr:row>0</xdr:row>
      <xdr:rowOff>0</xdr:rowOff>
    </xdr:from>
    <xdr:ext cx="3676650" cy="2238375"/>
    <xdr:graphicFrame>
      <xdr:nvGraphicFramePr>
        <xdr:cNvPr id="3" name="Chart 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85725</xdr:colOff>
      <xdr:row>11</xdr:row>
      <xdr:rowOff>9525</xdr:rowOff>
    </xdr:from>
    <xdr:ext cx="4076700" cy="2314575"/>
    <xdr:graphicFrame>
      <xdr:nvGraphicFramePr>
        <xdr:cNvPr id="4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657600" cy="2314575"/>
    <xdr:graphicFrame>
      <xdr:nvGraphicFramePr>
        <xdr:cNvPr id="5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723900</xdr:colOff>
      <xdr:row>0</xdr:row>
      <xdr:rowOff>0</xdr:rowOff>
    </xdr:from>
    <xdr:ext cx="3371850" cy="2314575"/>
    <xdr:graphicFrame>
      <xdr:nvGraphicFramePr>
        <xdr:cNvPr id="6" name="Chart 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390525</xdr:colOff>
      <xdr:row>0</xdr:row>
      <xdr:rowOff>0</xdr:rowOff>
    </xdr:from>
    <xdr:ext cx="3952875" cy="2314575"/>
    <xdr:graphicFrame>
      <xdr:nvGraphicFramePr>
        <xdr:cNvPr id="7" name="Chart 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276225</xdr:colOff>
      <xdr:row>11</xdr:row>
      <xdr:rowOff>76200</xdr:rowOff>
    </xdr:from>
    <xdr:ext cx="5029200" cy="2009775"/>
    <xdr:graphicFrame>
      <xdr:nvGraphicFramePr>
        <xdr:cNvPr id="8" name="Chart 8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7" max="7" width="15.38"/>
    <col hidden="1" min="11" max="41" width="12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4" t="s">
        <v>8</v>
      </c>
      <c r="J1" s="4" t="s">
        <v>9</v>
      </c>
      <c r="K1" s="7" t="s">
        <v>10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</row>
    <row r="2">
      <c r="A2" s="9">
        <v>1.0</v>
      </c>
      <c r="B2" s="10" t="s">
        <v>11</v>
      </c>
      <c r="C2" s="11">
        <v>1.0</v>
      </c>
      <c r="D2" s="12"/>
      <c r="E2" s="12"/>
      <c r="F2" s="12" t="str">
        <f t="shared" ref="F2:F124" si="1">IF(D2="","Vacant","Inhouse")</f>
        <v>Vacant</v>
      </c>
      <c r="G2" s="12"/>
      <c r="H2" s="13">
        <f t="shared" ref="H2:H124" si="2">G2*$G$127</f>
        <v>0</v>
      </c>
      <c r="I2" s="12"/>
      <c r="J2" s="12"/>
      <c r="K2" s="12">
        <v>1.0</v>
      </c>
      <c r="L2" s="14">
        <v>2.0</v>
      </c>
      <c r="M2" s="14">
        <v>3.0</v>
      </c>
      <c r="N2" s="14">
        <v>4.0</v>
      </c>
      <c r="O2" s="14">
        <v>5.0</v>
      </c>
      <c r="P2" s="14">
        <v>6.0</v>
      </c>
      <c r="Q2" s="14">
        <v>7.0</v>
      </c>
      <c r="R2" s="14">
        <v>8.0</v>
      </c>
      <c r="S2" s="14">
        <v>9.0</v>
      </c>
      <c r="T2" s="14">
        <v>10.0</v>
      </c>
      <c r="U2" s="14">
        <v>11.0</v>
      </c>
      <c r="V2" s="14">
        <v>12.0</v>
      </c>
      <c r="W2" s="14">
        <v>13.0</v>
      </c>
      <c r="X2" s="14">
        <v>14.0</v>
      </c>
      <c r="Y2" s="14">
        <v>15.0</v>
      </c>
      <c r="Z2" s="14">
        <v>16.0</v>
      </c>
      <c r="AA2" s="14">
        <v>17.0</v>
      </c>
      <c r="AB2" s="14">
        <v>18.0</v>
      </c>
      <c r="AC2" s="14">
        <v>19.0</v>
      </c>
      <c r="AD2" s="14">
        <v>20.0</v>
      </c>
      <c r="AE2" s="14">
        <v>21.0</v>
      </c>
      <c r="AF2" s="14">
        <v>22.0</v>
      </c>
      <c r="AG2" s="14">
        <v>23.0</v>
      </c>
      <c r="AH2" s="14">
        <v>24.0</v>
      </c>
      <c r="AI2" s="14">
        <v>25.0</v>
      </c>
      <c r="AJ2" s="14">
        <v>26.0</v>
      </c>
      <c r="AK2" s="14">
        <v>27.0</v>
      </c>
      <c r="AL2" s="14">
        <v>28.0</v>
      </c>
      <c r="AM2" s="14">
        <v>29.0</v>
      </c>
      <c r="AN2" s="14">
        <v>30.0</v>
      </c>
      <c r="AO2" s="14">
        <v>31.0</v>
      </c>
    </row>
    <row r="3">
      <c r="A3" s="9">
        <v>2.0</v>
      </c>
      <c r="B3" s="15"/>
      <c r="C3" s="16">
        <v>2.0</v>
      </c>
      <c r="D3" s="12"/>
      <c r="E3" s="12"/>
      <c r="F3" s="12" t="str">
        <f t="shared" si="1"/>
        <v>Vacant</v>
      </c>
      <c r="G3" s="12"/>
      <c r="H3" s="13">
        <f t="shared" si="2"/>
        <v>0</v>
      </c>
      <c r="I3" s="12"/>
      <c r="J3" s="12"/>
      <c r="K3" s="12">
        <v>1.0</v>
      </c>
      <c r="L3" s="14">
        <v>2.0</v>
      </c>
      <c r="M3" s="14">
        <v>3.0</v>
      </c>
      <c r="N3" s="14">
        <v>4.0</v>
      </c>
      <c r="O3" s="14">
        <v>5.0</v>
      </c>
      <c r="P3" s="14">
        <v>6.0</v>
      </c>
      <c r="Q3" s="14">
        <v>7.0</v>
      </c>
      <c r="R3" s="14">
        <v>8.0</v>
      </c>
      <c r="S3" s="14">
        <v>9.0</v>
      </c>
      <c r="T3" s="14">
        <v>10.0</v>
      </c>
      <c r="U3" s="14">
        <v>11.0</v>
      </c>
      <c r="V3" s="14">
        <v>12.0</v>
      </c>
      <c r="W3" s="14">
        <v>13.0</v>
      </c>
      <c r="X3" s="14">
        <v>14.0</v>
      </c>
      <c r="Y3" s="14">
        <v>15.0</v>
      </c>
      <c r="Z3" s="14">
        <v>16.0</v>
      </c>
      <c r="AA3" s="14">
        <v>17.0</v>
      </c>
      <c r="AB3" s="14">
        <v>18.0</v>
      </c>
      <c r="AC3" s="14">
        <v>19.0</v>
      </c>
      <c r="AD3" s="14">
        <v>20.0</v>
      </c>
      <c r="AE3" s="14">
        <v>21.0</v>
      </c>
      <c r="AF3" s="14">
        <v>22.0</v>
      </c>
      <c r="AG3" s="14">
        <v>23.0</v>
      </c>
      <c r="AH3" s="14">
        <v>24.0</v>
      </c>
      <c r="AI3" s="14">
        <v>25.0</v>
      </c>
      <c r="AJ3" s="14">
        <v>26.0</v>
      </c>
      <c r="AK3" s="14">
        <v>27.0</v>
      </c>
      <c r="AL3" s="14">
        <v>28.0</v>
      </c>
      <c r="AM3" s="14">
        <v>29.0</v>
      </c>
      <c r="AN3" s="14">
        <v>30.0</v>
      </c>
      <c r="AO3" s="14">
        <v>31.0</v>
      </c>
    </row>
    <row r="4">
      <c r="A4" s="9">
        <v>3.0</v>
      </c>
      <c r="B4" s="15"/>
      <c r="C4" s="16">
        <v>3.0</v>
      </c>
      <c r="D4" s="12"/>
      <c r="E4" s="12"/>
      <c r="F4" s="12" t="str">
        <f t="shared" si="1"/>
        <v>Vacant</v>
      </c>
      <c r="G4" s="12"/>
      <c r="H4" s="13">
        <f t="shared" si="2"/>
        <v>0</v>
      </c>
      <c r="I4" s="12"/>
      <c r="J4" s="12"/>
      <c r="K4" s="12">
        <v>1.0</v>
      </c>
      <c r="L4" s="14">
        <v>2.0</v>
      </c>
      <c r="M4" s="14">
        <v>3.0</v>
      </c>
      <c r="N4" s="14">
        <v>4.0</v>
      </c>
      <c r="O4" s="14">
        <v>5.0</v>
      </c>
      <c r="P4" s="14">
        <v>6.0</v>
      </c>
      <c r="Q4" s="14">
        <v>7.0</v>
      </c>
      <c r="R4" s="14">
        <v>8.0</v>
      </c>
      <c r="S4" s="14">
        <v>9.0</v>
      </c>
      <c r="T4" s="14">
        <v>10.0</v>
      </c>
      <c r="U4" s="14">
        <v>11.0</v>
      </c>
      <c r="V4" s="14">
        <v>12.0</v>
      </c>
      <c r="W4" s="14">
        <v>13.0</v>
      </c>
      <c r="X4" s="14">
        <v>14.0</v>
      </c>
      <c r="Y4" s="14">
        <v>15.0</v>
      </c>
      <c r="Z4" s="14">
        <v>16.0</v>
      </c>
      <c r="AA4" s="14">
        <v>17.0</v>
      </c>
      <c r="AB4" s="14">
        <v>18.0</v>
      </c>
      <c r="AC4" s="14">
        <v>19.0</v>
      </c>
      <c r="AD4" s="14">
        <v>20.0</v>
      </c>
      <c r="AE4" s="14">
        <v>21.0</v>
      </c>
      <c r="AF4" s="14">
        <v>22.0</v>
      </c>
      <c r="AG4" s="14">
        <v>23.0</v>
      </c>
      <c r="AH4" s="14">
        <v>24.0</v>
      </c>
      <c r="AI4" s="14">
        <v>25.0</v>
      </c>
      <c r="AJ4" s="14">
        <v>26.0</v>
      </c>
      <c r="AK4" s="14">
        <v>27.0</v>
      </c>
      <c r="AL4" s="14">
        <v>28.0</v>
      </c>
      <c r="AM4" s="14">
        <v>29.0</v>
      </c>
      <c r="AN4" s="14">
        <v>30.0</v>
      </c>
      <c r="AO4" s="14">
        <v>31.0</v>
      </c>
    </row>
    <row r="5">
      <c r="A5" s="9">
        <v>4.0</v>
      </c>
      <c r="B5" s="15"/>
      <c r="C5" s="16">
        <v>4.0</v>
      </c>
      <c r="D5" s="12"/>
      <c r="E5" s="12"/>
      <c r="F5" s="12" t="str">
        <f t="shared" si="1"/>
        <v>Vacant</v>
      </c>
      <c r="G5" s="12"/>
      <c r="H5" s="13">
        <f t="shared" si="2"/>
        <v>0</v>
      </c>
      <c r="I5" s="12"/>
      <c r="J5" s="12"/>
      <c r="K5" s="12">
        <v>1.0</v>
      </c>
      <c r="L5" s="14">
        <v>2.0</v>
      </c>
      <c r="M5" s="14">
        <v>3.0</v>
      </c>
      <c r="N5" s="14">
        <v>4.0</v>
      </c>
      <c r="O5" s="14">
        <v>5.0</v>
      </c>
      <c r="P5" s="14">
        <v>6.0</v>
      </c>
      <c r="Q5" s="14">
        <v>7.0</v>
      </c>
      <c r="R5" s="14">
        <v>8.0</v>
      </c>
      <c r="S5" s="14">
        <v>9.0</v>
      </c>
      <c r="T5" s="14">
        <v>10.0</v>
      </c>
      <c r="U5" s="14">
        <v>11.0</v>
      </c>
      <c r="V5" s="14">
        <v>12.0</v>
      </c>
      <c r="W5" s="14">
        <v>13.0</v>
      </c>
      <c r="X5" s="14">
        <v>14.0</v>
      </c>
      <c r="Y5" s="14">
        <v>15.0</v>
      </c>
      <c r="Z5" s="14">
        <v>16.0</v>
      </c>
      <c r="AA5" s="14">
        <v>17.0</v>
      </c>
      <c r="AB5" s="14">
        <v>18.0</v>
      </c>
      <c r="AC5" s="14">
        <v>19.0</v>
      </c>
      <c r="AD5" s="14">
        <v>20.0</v>
      </c>
      <c r="AE5" s="14">
        <v>21.0</v>
      </c>
      <c r="AF5" s="14">
        <v>22.0</v>
      </c>
      <c r="AG5" s="14">
        <v>23.0</v>
      </c>
      <c r="AH5" s="14">
        <v>24.0</v>
      </c>
      <c r="AI5" s="14">
        <v>25.0</v>
      </c>
      <c r="AJ5" s="14">
        <v>26.0</v>
      </c>
      <c r="AK5" s="14">
        <v>27.0</v>
      </c>
      <c r="AL5" s="14">
        <v>28.0</v>
      </c>
      <c r="AM5" s="14">
        <v>29.0</v>
      </c>
      <c r="AN5" s="14">
        <v>30.0</v>
      </c>
      <c r="AO5" s="14">
        <v>31.0</v>
      </c>
    </row>
    <row r="6">
      <c r="A6" s="9">
        <v>5.0</v>
      </c>
      <c r="B6" s="15"/>
      <c r="C6" s="16">
        <v>5.0</v>
      </c>
      <c r="D6" s="12"/>
      <c r="E6" s="12"/>
      <c r="F6" s="12" t="str">
        <f t="shared" si="1"/>
        <v>Vacant</v>
      </c>
      <c r="G6" s="12"/>
      <c r="H6" s="13">
        <f t="shared" si="2"/>
        <v>0</v>
      </c>
      <c r="I6" s="12"/>
      <c r="J6" s="12"/>
      <c r="K6" s="12">
        <v>1.0</v>
      </c>
      <c r="L6" s="14">
        <v>2.0</v>
      </c>
      <c r="M6" s="14">
        <v>3.0</v>
      </c>
      <c r="N6" s="14">
        <v>4.0</v>
      </c>
      <c r="O6" s="14">
        <v>5.0</v>
      </c>
      <c r="P6" s="14">
        <v>6.0</v>
      </c>
      <c r="Q6" s="14">
        <v>7.0</v>
      </c>
      <c r="R6" s="14">
        <v>8.0</v>
      </c>
      <c r="S6" s="14">
        <v>9.0</v>
      </c>
      <c r="T6" s="14">
        <v>10.0</v>
      </c>
      <c r="U6" s="14">
        <v>11.0</v>
      </c>
      <c r="V6" s="14">
        <v>12.0</v>
      </c>
      <c r="W6" s="14">
        <v>13.0</v>
      </c>
      <c r="X6" s="14">
        <v>14.0</v>
      </c>
      <c r="Y6" s="14">
        <v>15.0</v>
      </c>
      <c r="Z6" s="14">
        <v>16.0</v>
      </c>
      <c r="AA6" s="14">
        <v>17.0</v>
      </c>
      <c r="AB6" s="14">
        <v>18.0</v>
      </c>
      <c r="AC6" s="14">
        <v>19.0</v>
      </c>
      <c r="AD6" s="14">
        <v>20.0</v>
      </c>
      <c r="AE6" s="14">
        <v>21.0</v>
      </c>
      <c r="AF6" s="14">
        <v>22.0</v>
      </c>
      <c r="AG6" s="14">
        <v>23.0</v>
      </c>
      <c r="AH6" s="14">
        <v>24.0</v>
      </c>
      <c r="AI6" s="14">
        <v>25.0</v>
      </c>
      <c r="AJ6" s="14">
        <v>26.0</v>
      </c>
      <c r="AK6" s="14">
        <v>27.0</v>
      </c>
      <c r="AL6" s="14">
        <v>28.0</v>
      </c>
      <c r="AM6" s="14">
        <v>29.0</v>
      </c>
      <c r="AN6" s="14">
        <v>30.0</v>
      </c>
      <c r="AO6" s="14">
        <v>31.0</v>
      </c>
    </row>
    <row r="7">
      <c r="A7" s="9">
        <v>6.0</v>
      </c>
      <c r="B7" s="15"/>
      <c r="C7" s="16">
        <v>6.0</v>
      </c>
      <c r="D7" s="12"/>
      <c r="E7" s="12"/>
      <c r="F7" s="12" t="str">
        <f t="shared" si="1"/>
        <v>Vacant</v>
      </c>
      <c r="G7" s="12"/>
      <c r="H7" s="13">
        <f t="shared" si="2"/>
        <v>0</v>
      </c>
      <c r="I7" s="12"/>
      <c r="J7" s="12"/>
      <c r="K7" s="12">
        <v>1.0</v>
      </c>
      <c r="L7" s="14">
        <v>2.0</v>
      </c>
      <c r="M7" s="14">
        <v>3.0</v>
      </c>
      <c r="N7" s="14">
        <v>4.0</v>
      </c>
      <c r="O7" s="14">
        <v>5.0</v>
      </c>
      <c r="P7" s="14">
        <v>6.0</v>
      </c>
      <c r="Q7" s="14">
        <v>7.0</v>
      </c>
      <c r="R7" s="14">
        <v>8.0</v>
      </c>
      <c r="S7" s="14">
        <v>9.0</v>
      </c>
      <c r="T7" s="14">
        <v>10.0</v>
      </c>
      <c r="U7" s="14">
        <v>11.0</v>
      </c>
      <c r="V7" s="14">
        <v>12.0</v>
      </c>
      <c r="W7" s="14">
        <v>13.0</v>
      </c>
      <c r="X7" s="14">
        <v>14.0</v>
      </c>
      <c r="Y7" s="14">
        <v>15.0</v>
      </c>
      <c r="Z7" s="14">
        <v>16.0</v>
      </c>
      <c r="AA7" s="14">
        <v>17.0</v>
      </c>
      <c r="AB7" s="14">
        <v>18.0</v>
      </c>
      <c r="AC7" s="14">
        <v>19.0</v>
      </c>
      <c r="AD7" s="14">
        <v>20.0</v>
      </c>
      <c r="AE7" s="14">
        <v>21.0</v>
      </c>
      <c r="AF7" s="14">
        <v>22.0</v>
      </c>
      <c r="AG7" s="14">
        <v>23.0</v>
      </c>
      <c r="AH7" s="14">
        <v>24.0</v>
      </c>
      <c r="AI7" s="14">
        <v>25.0</v>
      </c>
      <c r="AJ7" s="14">
        <v>26.0</v>
      </c>
      <c r="AK7" s="14">
        <v>27.0</v>
      </c>
      <c r="AL7" s="14">
        <v>28.0</v>
      </c>
      <c r="AM7" s="14">
        <v>29.0</v>
      </c>
      <c r="AN7" s="14">
        <v>30.0</v>
      </c>
      <c r="AO7" s="14">
        <v>31.0</v>
      </c>
    </row>
    <row r="8">
      <c r="A8" s="9">
        <v>7.0</v>
      </c>
      <c r="B8" s="15"/>
      <c r="C8" s="16">
        <v>7.0</v>
      </c>
      <c r="D8" s="12"/>
      <c r="E8" s="12"/>
      <c r="F8" s="12" t="str">
        <f t="shared" si="1"/>
        <v>Vacant</v>
      </c>
      <c r="G8" s="12"/>
      <c r="H8" s="13">
        <f t="shared" si="2"/>
        <v>0</v>
      </c>
      <c r="I8" s="12"/>
      <c r="J8" s="12"/>
      <c r="K8" s="12">
        <v>1.0</v>
      </c>
      <c r="L8" s="14">
        <v>2.0</v>
      </c>
      <c r="M8" s="14">
        <v>3.0</v>
      </c>
      <c r="N8" s="14">
        <v>4.0</v>
      </c>
      <c r="O8" s="14">
        <v>5.0</v>
      </c>
      <c r="P8" s="14">
        <v>6.0</v>
      </c>
      <c r="Q8" s="14">
        <v>7.0</v>
      </c>
      <c r="R8" s="14">
        <v>8.0</v>
      </c>
      <c r="S8" s="14">
        <v>9.0</v>
      </c>
      <c r="T8" s="14">
        <v>10.0</v>
      </c>
      <c r="U8" s="14">
        <v>11.0</v>
      </c>
      <c r="V8" s="14">
        <v>12.0</v>
      </c>
      <c r="W8" s="14">
        <v>13.0</v>
      </c>
      <c r="X8" s="14">
        <v>14.0</v>
      </c>
      <c r="Y8" s="14">
        <v>15.0</v>
      </c>
      <c r="Z8" s="14">
        <v>16.0</v>
      </c>
      <c r="AA8" s="14">
        <v>17.0</v>
      </c>
      <c r="AB8" s="14">
        <v>18.0</v>
      </c>
      <c r="AC8" s="14">
        <v>19.0</v>
      </c>
      <c r="AD8" s="14">
        <v>20.0</v>
      </c>
      <c r="AE8" s="14">
        <v>21.0</v>
      </c>
      <c r="AF8" s="14">
        <v>22.0</v>
      </c>
      <c r="AG8" s="14">
        <v>23.0</v>
      </c>
      <c r="AH8" s="14">
        <v>24.0</v>
      </c>
      <c r="AI8" s="14">
        <v>25.0</v>
      </c>
      <c r="AJ8" s="14">
        <v>26.0</v>
      </c>
      <c r="AK8" s="14">
        <v>27.0</v>
      </c>
      <c r="AL8" s="14">
        <v>28.0</v>
      </c>
      <c r="AM8" s="14">
        <v>29.0</v>
      </c>
      <c r="AN8" s="14">
        <v>30.0</v>
      </c>
      <c r="AO8" s="14">
        <v>31.0</v>
      </c>
    </row>
    <row r="9">
      <c r="A9" s="9">
        <v>8.0</v>
      </c>
      <c r="B9" s="15"/>
      <c r="C9" s="16">
        <v>8.0</v>
      </c>
      <c r="D9" s="12"/>
      <c r="E9" s="12"/>
      <c r="F9" s="12" t="str">
        <f t="shared" si="1"/>
        <v>Vacant</v>
      </c>
      <c r="G9" s="12"/>
      <c r="H9" s="13">
        <f t="shared" si="2"/>
        <v>0</v>
      </c>
      <c r="I9" s="12"/>
      <c r="J9" s="12"/>
      <c r="K9" s="12">
        <v>1.0</v>
      </c>
      <c r="L9" s="14">
        <v>2.0</v>
      </c>
      <c r="M9" s="14">
        <v>3.0</v>
      </c>
      <c r="N9" s="14">
        <v>4.0</v>
      </c>
      <c r="O9" s="14">
        <v>5.0</v>
      </c>
      <c r="P9" s="14">
        <v>6.0</v>
      </c>
      <c r="Q9" s="14">
        <v>7.0</v>
      </c>
      <c r="R9" s="14">
        <v>8.0</v>
      </c>
      <c r="S9" s="14">
        <v>9.0</v>
      </c>
      <c r="T9" s="14">
        <v>10.0</v>
      </c>
      <c r="U9" s="14">
        <v>11.0</v>
      </c>
      <c r="V9" s="14">
        <v>12.0</v>
      </c>
      <c r="W9" s="14">
        <v>13.0</v>
      </c>
      <c r="X9" s="14">
        <v>14.0</v>
      </c>
      <c r="Y9" s="14">
        <v>15.0</v>
      </c>
      <c r="Z9" s="14">
        <v>16.0</v>
      </c>
      <c r="AA9" s="14">
        <v>17.0</v>
      </c>
      <c r="AB9" s="14">
        <v>18.0</v>
      </c>
      <c r="AC9" s="14">
        <v>19.0</v>
      </c>
      <c r="AD9" s="14">
        <v>20.0</v>
      </c>
      <c r="AE9" s="14">
        <v>21.0</v>
      </c>
      <c r="AF9" s="14">
        <v>22.0</v>
      </c>
      <c r="AG9" s="14">
        <v>23.0</v>
      </c>
      <c r="AH9" s="14">
        <v>24.0</v>
      </c>
      <c r="AI9" s="14">
        <v>25.0</v>
      </c>
      <c r="AJ9" s="14">
        <v>26.0</v>
      </c>
      <c r="AK9" s="14">
        <v>27.0</v>
      </c>
      <c r="AL9" s="14">
        <v>28.0</v>
      </c>
      <c r="AM9" s="14">
        <v>29.0</v>
      </c>
      <c r="AN9" s="14">
        <v>30.0</v>
      </c>
      <c r="AO9" s="14">
        <v>31.0</v>
      </c>
    </row>
    <row r="10">
      <c r="A10" s="9">
        <v>9.0</v>
      </c>
      <c r="B10" s="15"/>
      <c r="C10" s="16">
        <v>9.0</v>
      </c>
      <c r="D10" s="12"/>
      <c r="E10" s="12"/>
      <c r="F10" s="12" t="str">
        <f t="shared" si="1"/>
        <v>Vacant</v>
      </c>
      <c r="G10" s="12"/>
      <c r="H10" s="13">
        <f t="shared" si="2"/>
        <v>0</v>
      </c>
      <c r="I10" s="12"/>
      <c r="J10" s="12"/>
      <c r="K10" s="12">
        <v>1.0</v>
      </c>
      <c r="L10" s="14">
        <v>2.0</v>
      </c>
      <c r="M10" s="14">
        <v>3.0</v>
      </c>
      <c r="N10" s="14">
        <v>4.0</v>
      </c>
      <c r="O10" s="14">
        <v>5.0</v>
      </c>
      <c r="P10" s="14">
        <v>6.0</v>
      </c>
      <c r="Q10" s="14">
        <v>7.0</v>
      </c>
      <c r="R10" s="14">
        <v>8.0</v>
      </c>
      <c r="S10" s="14">
        <v>9.0</v>
      </c>
      <c r="T10" s="14">
        <v>10.0</v>
      </c>
      <c r="U10" s="14">
        <v>11.0</v>
      </c>
      <c r="V10" s="14">
        <v>12.0</v>
      </c>
      <c r="W10" s="14">
        <v>13.0</v>
      </c>
      <c r="X10" s="14">
        <v>14.0</v>
      </c>
      <c r="Y10" s="14">
        <v>15.0</v>
      </c>
      <c r="Z10" s="14">
        <v>16.0</v>
      </c>
      <c r="AA10" s="14">
        <v>17.0</v>
      </c>
      <c r="AB10" s="14">
        <v>18.0</v>
      </c>
      <c r="AC10" s="14">
        <v>19.0</v>
      </c>
      <c r="AD10" s="14">
        <v>20.0</v>
      </c>
      <c r="AE10" s="14">
        <v>21.0</v>
      </c>
      <c r="AF10" s="14">
        <v>22.0</v>
      </c>
      <c r="AG10" s="14">
        <v>23.0</v>
      </c>
      <c r="AH10" s="14">
        <v>24.0</v>
      </c>
      <c r="AI10" s="14">
        <v>25.0</v>
      </c>
      <c r="AJ10" s="14">
        <v>26.0</v>
      </c>
      <c r="AK10" s="14">
        <v>27.0</v>
      </c>
      <c r="AL10" s="14">
        <v>28.0</v>
      </c>
      <c r="AM10" s="14">
        <v>29.0</v>
      </c>
      <c r="AN10" s="14">
        <v>30.0</v>
      </c>
      <c r="AO10" s="14">
        <v>31.0</v>
      </c>
    </row>
    <row r="11">
      <c r="A11" s="9">
        <v>10.0</v>
      </c>
      <c r="B11" s="15"/>
      <c r="C11" s="16">
        <v>10.0</v>
      </c>
      <c r="D11" s="12"/>
      <c r="E11" s="12"/>
      <c r="F11" s="12" t="str">
        <f t="shared" si="1"/>
        <v>Vacant</v>
      </c>
      <c r="G11" s="12"/>
      <c r="H11" s="13">
        <f t="shared" si="2"/>
        <v>0</v>
      </c>
      <c r="I11" s="12"/>
      <c r="J11" s="12"/>
      <c r="K11" s="12">
        <v>1.0</v>
      </c>
      <c r="L11" s="14">
        <v>2.0</v>
      </c>
      <c r="M11" s="14">
        <v>3.0</v>
      </c>
      <c r="N11" s="14">
        <v>4.0</v>
      </c>
      <c r="O11" s="14">
        <v>5.0</v>
      </c>
      <c r="P11" s="14">
        <v>6.0</v>
      </c>
      <c r="Q11" s="14">
        <v>7.0</v>
      </c>
      <c r="R11" s="14">
        <v>8.0</v>
      </c>
      <c r="S11" s="14">
        <v>9.0</v>
      </c>
      <c r="T11" s="14">
        <v>10.0</v>
      </c>
      <c r="U11" s="14">
        <v>11.0</v>
      </c>
      <c r="V11" s="14">
        <v>12.0</v>
      </c>
      <c r="W11" s="14">
        <v>13.0</v>
      </c>
      <c r="X11" s="14">
        <v>14.0</v>
      </c>
      <c r="Y11" s="14">
        <v>15.0</v>
      </c>
      <c r="Z11" s="14">
        <v>16.0</v>
      </c>
      <c r="AA11" s="14">
        <v>17.0</v>
      </c>
      <c r="AB11" s="14">
        <v>18.0</v>
      </c>
      <c r="AC11" s="14">
        <v>19.0</v>
      </c>
      <c r="AD11" s="14">
        <v>20.0</v>
      </c>
      <c r="AE11" s="14">
        <v>21.0</v>
      </c>
      <c r="AF11" s="14">
        <v>22.0</v>
      </c>
      <c r="AG11" s="14">
        <v>23.0</v>
      </c>
      <c r="AH11" s="14">
        <v>24.0</v>
      </c>
      <c r="AI11" s="14">
        <v>25.0</v>
      </c>
      <c r="AJ11" s="14">
        <v>26.0</v>
      </c>
      <c r="AK11" s="14">
        <v>27.0</v>
      </c>
      <c r="AL11" s="14">
        <v>28.0</v>
      </c>
      <c r="AM11" s="14">
        <v>29.0</v>
      </c>
      <c r="AN11" s="14">
        <v>30.0</v>
      </c>
      <c r="AO11" s="14">
        <v>31.0</v>
      </c>
    </row>
    <row r="12">
      <c r="A12" s="9">
        <v>11.0</v>
      </c>
      <c r="B12" s="17"/>
      <c r="C12" s="16">
        <v>11.0</v>
      </c>
      <c r="D12" s="12"/>
      <c r="E12" s="12"/>
      <c r="F12" s="12" t="str">
        <f t="shared" si="1"/>
        <v>Vacant</v>
      </c>
      <c r="G12" s="12"/>
      <c r="H12" s="13">
        <f t="shared" si="2"/>
        <v>0</v>
      </c>
      <c r="I12" s="12"/>
      <c r="J12" s="12"/>
      <c r="K12" s="12">
        <v>1.0</v>
      </c>
      <c r="L12" s="14">
        <v>2.0</v>
      </c>
      <c r="M12" s="14">
        <v>3.0</v>
      </c>
      <c r="N12" s="14">
        <v>4.0</v>
      </c>
      <c r="O12" s="14">
        <v>5.0</v>
      </c>
      <c r="P12" s="14">
        <v>6.0</v>
      </c>
      <c r="Q12" s="14">
        <v>7.0</v>
      </c>
      <c r="R12" s="14">
        <v>8.0</v>
      </c>
      <c r="S12" s="14">
        <v>9.0</v>
      </c>
      <c r="T12" s="14">
        <v>10.0</v>
      </c>
      <c r="U12" s="14">
        <v>11.0</v>
      </c>
      <c r="V12" s="14">
        <v>12.0</v>
      </c>
      <c r="W12" s="14">
        <v>13.0</v>
      </c>
      <c r="X12" s="14">
        <v>14.0</v>
      </c>
      <c r="Y12" s="14">
        <v>15.0</v>
      </c>
      <c r="Z12" s="14">
        <v>16.0</v>
      </c>
      <c r="AA12" s="14">
        <v>17.0</v>
      </c>
      <c r="AB12" s="14">
        <v>18.0</v>
      </c>
      <c r="AC12" s="14">
        <v>19.0</v>
      </c>
      <c r="AD12" s="14">
        <v>20.0</v>
      </c>
      <c r="AE12" s="14">
        <v>21.0</v>
      </c>
      <c r="AF12" s="14">
        <v>22.0</v>
      </c>
      <c r="AG12" s="14">
        <v>23.0</v>
      </c>
      <c r="AH12" s="14">
        <v>24.0</v>
      </c>
      <c r="AI12" s="14">
        <v>25.0</v>
      </c>
      <c r="AJ12" s="14">
        <v>26.0</v>
      </c>
      <c r="AK12" s="14">
        <v>27.0</v>
      </c>
      <c r="AL12" s="14">
        <v>28.0</v>
      </c>
      <c r="AM12" s="14">
        <v>29.0</v>
      </c>
      <c r="AN12" s="14">
        <v>30.0</v>
      </c>
      <c r="AO12" s="14">
        <v>31.0</v>
      </c>
    </row>
    <row r="13">
      <c r="A13" s="9">
        <v>12.0</v>
      </c>
      <c r="B13" s="18" t="s">
        <v>12</v>
      </c>
      <c r="C13" s="19">
        <v>1.0</v>
      </c>
      <c r="D13" s="12"/>
      <c r="E13" s="12"/>
      <c r="F13" s="12" t="str">
        <f t="shared" si="1"/>
        <v>Vacant</v>
      </c>
      <c r="G13" s="12"/>
      <c r="H13" s="13">
        <f t="shared" si="2"/>
        <v>0</v>
      </c>
      <c r="I13" s="12"/>
      <c r="J13" s="12"/>
      <c r="K13" s="12">
        <v>1.0</v>
      </c>
      <c r="L13" s="14">
        <v>2.0</v>
      </c>
      <c r="M13" s="14">
        <v>3.0</v>
      </c>
      <c r="N13" s="14">
        <v>4.0</v>
      </c>
      <c r="O13" s="14">
        <v>5.0</v>
      </c>
      <c r="P13" s="14">
        <v>6.0</v>
      </c>
      <c r="Q13" s="14">
        <v>7.0</v>
      </c>
      <c r="R13" s="14">
        <v>8.0</v>
      </c>
      <c r="S13" s="14">
        <v>9.0</v>
      </c>
      <c r="T13" s="14">
        <v>10.0</v>
      </c>
      <c r="U13" s="14">
        <v>11.0</v>
      </c>
      <c r="V13" s="14">
        <v>12.0</v>
      </c>
      <c r="W13" s="14">
        <v>13.0</v>
      </c>
      <c r="X13" s="14">
        <v>14.0</v>
      </c>
      <c r="Y13" s="14">
        <v>15.0</v>
      </c>
      <c r="Z13" s="14">
        <v>16.0</v>
      </c>
      <c r="AA13" s="14">
        <v>17.0</v>
      </c>
      <c r="AB13" s="14">
        <v>18.0</v>
      </c>
      <c r="AC13" s="14">
        <v>19.0</v>
      </c>
      <c r="AD13" s="14">
        <v>20.0</v>
      </c>
      <c r="AE13" s="14">
        <v>21.0</v>
      </c>
      <c r="AF13" s="14">
        <v>22.0</v>
      </c>
      <c r="AG13" s="14">
        <v>23.0</v>
      </c>
      <c r="AH13" s="14">
        <v>24.0</v>
      </c>
      <c r="AI13" s="14">
        <v>25.0</v>
      </c>
      <c r="AJ13" s="14">
        <v>26.0</v>
      </c>
      <c r="AK13" s="14">
        <v>27.0</v>
      </c>
      <c r="AL13" s="14">
        <v>28.0</v>
      </c>
      <c r="AM13" s="14">
        <v>29.0</v>
      </c>
      <c r="AN13" s="14">
        <v>30.0</v>
      </c>
      <c r="AO13" s="14">
        <v>31.0</v>
      </c>
    </row>
    <row r="14">
      <c r="A14" s="9">
        <v>13.0</v>
      </c>
      <c r="B14" s="15"/>
      <c r="C14" s="19">
        <v>2.0</v>
      </c>
      <c r="D14" s="12"/>
      <c r="E14" s="12"/>
      <c r="F14" s="12" t="str">
        <f t="shared" si="1"/>
        <v>Vacant</v>
      </c>
      <c r="G14" s="12"/>
      <c r="H14" s="13">
        <f t="shared" si="2"/>
        <v>0</v>
      </c>
      <c r="I14" s="12"/>
      <c r="J14" s="12"/>
      <c r="K14" s="12">
        <v>1.0</v>
      </c>
      <c r="L14" s="14">
        <v>2.0</v>
      </c>
      <c r="M14" s="14">
        <v>3.0</v>
      </c>
      <c r="N14" s="14">
        <v>4.0</v>
      </c>
      <c r="O14" s="14">
        <v>5.0</v>
      </c>
      <c r="P14" s="14">
        <v>6.0</v>
      </c>
      <c r="Q14" s="14">
        <v>7.0</v>
      </c>
      <c r="R14" s="14">
        <v>8.0</v>
      </c>
      <c r="S14" s="14">
        <v>9.0</v>
      </c>
      <c r="T14" s="14">
        <v>10.0</v>
      </c>
      <c r="U14" s="14">
        <v>11.0</v>
      </c>
      <c r="V14" s="14">
        <v>12.0</v>
      </c>
      <c r="W14" s="14">
        <v>13.0</v>
      </c>
      <c r="X14" s="14">
        <v>14.0</v>
      </c>
      <c r="Y14" s="14">
        <v>15.0</v>
      </c>
      <c r="Z14" s="14">
        <v>16.0</v>
      </c>
      <c r="AA14" s="14">
        <v>17.0</v>
      </c>
      <c r="AB14" s="14">
        <v>18.0</v>
      </c>
      <c r="AC14" s="14">
        <v>19.0</v>
      </c>
      <c r="AD14" s="14">
        <v>20.0</v>
      </c>
      <c r="AE14" s="14">
        <v>21.0</v>
      </c>
      <c r="AF14" s="14">
        <v>22.0</v>
      </c>
      <c r="AG14" s="14">
        <v>23.0</v>
      </c>
      <c r="AH14" s="14">
        <v>24.0</v>
      </c>
      <c r="AI14" s="14">
        <v>25.0</v>
      </c>
      <c r="AJ14" s="14">
        <v>26.0</v>
      </c>
      <c r="AK14" s="14">
        <v>27.0</v>
      </c>
      <c r="AL14" s="14">
        <v>28.0</v>
      </c>
      <c r="AM14" s="14">
        <v>29.0</v>
      </c>
      <c r="AN14" s="14">
        <v>30.0</v>
      </c>
      <c r="AO14" s="14">
        <v>31.0</v>
      </c>
    </row>
    <row r="15">
      <c r="A15" s="9">
        <v>14.0</v>
      </c>
      <c r="B15" s="15"/>
      <c r="C15" s="19">
        <v>3.0</v>
      </c>
      <c r="D15" s="12"/>
      <c r="E15" s="12"/>
      <c r="F15" s="12" t="str">
        <f t="shared" si="1"/>
        <v>Vacant</v>
      </c>
      <c r="G15" s="12"/>
      <c r="H15" s="13">
        <f t="shared" si="2"/>
        <v>0</v>
      </c>
      <c r="I15" s="12"/>
      <c r="J15" s="12"/>
      <c r="K15" s="12">
        <v>1.0</v>
      </c>
      <c r="L15" s="14">
        <v>2.0</v>
      </c>
      <c r="M15" s="14">
        <v>3.0</v>
      </c>
      <c r="N15" s="14">
        <v>4.0</v>
      </c>
      <c r="O15" s="14">
        <v>5.0</v>
      </c>
      <c r="P15" s="14">
        <v>6.0</v>
      </c>
      <c r="Q15" s="14">
        <v>7.0</v>
      </c>
      <c r="R15" s="14">
        <v>8.0</v>
      </c>
      <c r="S15" s="14">
        <v>9.0</v>
      </c>
      <c r="T15" s="14">
        <v>10.0</v>
      </c>
      <c r="U15" s="14">
        <v>11.0</v>
      </c>
      <c r="V15" s="14">
        <v>12.0</v>
      </c>
      <c r="W15" s="14">
        <v>13.0</v>
      </c>
      <c r="X15" s="14">
        <v>14.0</v>
      </c>
      <c r="Y15" s="14">
        <v>15.0</v>
      </c>
      <c r="Z15" s="14">
        <v>16.0</v>
      </c>
      <c r="AA15" s="14">
        <v>17.0</v>
      </c>
      <c r="AB15" s="14">
        <v>18.0</v>
      </c>
      <c r="AC15" s="14">
        <v>19.0</v>
      </c>
      <c r="AD15" s="14">
        <v>20.0</v>
      </c>
      <c r="AE15" s="14">
        <v>21.0</v>
      </c>
      <c r="AF15" s="14">
        <v>22.0</v>
      </c>
      <c r="AG15" s="14">
        <v>23.0</v>
      </c>
      <c r="AH15" s="14">
        <v>24.0</v>
      </c>
      <c r="AI15" s="14">
        <v>25.0</v>
      </c>
      <c r="AJ15" s="14">
        <v>26.0</v>
      </c>
      <c r="AK15" s="14">
        <v>27.0</v>
      </c>
      <c r="AL15" s="14">
        <v>28.0</v>
      </c>
      <c r="AM15" s="14">
        <v>29.0</v>
      </c>
      <c r="AN15" s="14">
        <v>30.0</v>
      </c>
      <c r="AO15" s="14">
        <v>31.0</v>
      </c>
    </row>
    <row r="16">
      <c r="A16" s="9">
        <v>15.0</v>
      </c>
      <c r="B16" s="15"/>
      <c r="C16" s="19">
        <v>4.0</v>
      </c>
      <c r="D16" s="12"/>
      <c r="E16" s="12"/>
      <c r="F16" s="12" t="str">
        <f t="shared" si="1"/>
        <v>Vacant</v>
      </c>
      <c r="G16" s="12"/>
      <c r="H16" s="13">
        <f t="shared" si="2"/>
        <v>0</v>
      </c>
      <c r="I16" s="12"/>
      <c r="J16" s="12"/>
      <c r="K16" s="12">
        <v>1.0</v>
      </c>
      <c r="L16" s="14">
        <v>2.0</v>
      </c>
      <c r="M16" s="14">
        <v>3.0</v>
      </c>
      <c r="N16" s="14">
        <v>4.0</v>
      </c>
      <c r="O16" s="14">
        <v>5.0</v>
      </c>
      <c r="P16" s="14">
        <v>6.0</v>
      </c>
      <c r="Q16" s="14">
        <v>7.0</v>
      </c>
      <c r="R16" s="14">
        <v>8.0</v>
      </c>
      <c r="S16" s="14">
        <v>9.0</v>
      </c>
      <c r="T16" s="14">
        <v>10.0</v>
      </c>
      <c r="U16" s="14">
        <v>11.0</v>
      </c>
      <c r="V16" s="14">
        <v>12.0</v>
      </c>
      <c r="W16" s="14">
        <v>13.0</v>
      </c>
      <c r="X16" s="14">
        <v>14.0</v>
      </c>
      <c r="Y16" s="14">
        <v>15.0</v>
      </c>
      <c r="Z16" s="14">
        <v>16.0</v>
      </c>
      <c r="AA16" s="14">
        <v>17.0</v>
      </c>
      <c r="AB16" s="14">
        <v>18.0</v>
      </c>
      <c r="AC16" s="14">
        <v>19.0</v>
      </c>
      <c r="AD16" s="14">
        <v>20.0</v>
      </c>
      <c r="AE16" s="14">
        <v>21.0</v>
      </c>
      <c r="AF16" s="14">
        <v>22.0</v>
      </c>
      <c r="AG16" s="14">
        <v>23.0</v>
      </c>
      <c r="AH16" s="14">
        <v>24.0</v>
      </c>
      <c r="AI16" s="14">
        <v>25.0</v>
      </c>
      <c r="AJ16" s="14">
        <v>26.0</v>
      </c>
      <c r="AK16" s="14">
        <v>27.0</v>
      </c>
      <c r="AL16" s="14">
        <v>28.0</v>
      </c>
      <c r="AM16" s="14">
        <v>29.0</v>
      </c>
      <c r="AN16" s="14">
        <v>30.0</v>
      </c>
      <c r="AO16" s="14">
        <v>31.0</v>
      </c>
    </row>
    <row r="17">
      <c r="A17" s="9">
        <v>16.0</v>
      </c>
      <c r="B17" s="15"/>
      <c r="C17" s="19">
        <v>5.0</v>
      </c>
      <c r="D17" s="12"/>
      <c r="E17" s="12"/>
      <c r="F17" s="12" t="str">
        <f t="shared" si="1"/>
        <v>Vacant</v>
      </c>
      <c r="G17" s="12"/>
      <c r="H17" s="13">
        <f t="shared" si="2"/>
        <v>0</v>
      </c>
      <c r="I17" s="12"/>
      <c r="J17" s="12"/>
      <c r="K17" s="12">
        <v>1.0</v>
      </c>
      <c r="L17" s="14">
        <v>2.0</v>
      </c>
      <c r="M17" s="14">
        <v>3.0</v>
      </c>
      <c r="N17" s="14">
        <v>4.0</v>
      </c>
      <c r="O17" s="14">
        <v>5.0</v>
      </c>
      <c r="P17" s="14">
        <v>6.0</v>
      </c>
      <c r="Q17" s="14">
        <v>7.0</v>
      </c>
      <c r="R17" s="14">
        <v>8.0</v>
      </c>
      <c r="S17" s="14">
        <v>9.0</v>
      </c>
      <c r="T17" s="14">
        <v>10.0</v>
      </c>
      <c r="U17" s="14">
        <v>11.0</v>
      </c>
      <c r="V17" s="14">
        <v>12.0</v>
      </c>
      <c r="W17" s="14">
        <v>13.0</v>
      </c>
      <c r="X17" s="14">
        <v>14.0</v>
      </c>
      <c r="Y17" s="14">
        <v>15.0</v>
      </c>
      <c r="Z17" s="14">
        <v>16.0</v>
      </c>
      <c r="AA17" s="14">
        <v>17.0</v>
      </c>
      <c r="AB17" s="14">
        <v>18.0</v>
      </c>
      <c r="AC17" s="14">
        <v>19.0</v>
      </c>
      <c r="AD17" s="14">
        <v>20.0</v>
      </c>
      <c r="AE17" s="14">
        <v>21.0</v>
      </c>
      <c r="AF17" s="14">
        <v>22.0</v>
      </c>
      <c r="AG17" s="14">
        <v>23.0</v>
      </c>
      <c r="AH17" s="14">
        <v>24.0</v>
      </c>
      <c r="AI17" s="14">
        <v>25.0</v>
      </c>
      <c r="AJ17" s="14">
        <v>26.0</v>
      </c>
      <c r="AK17" s="14">
        <v>27.0</v>
      </c>
      <c r="AL17" s="14">
        <v>28.0</v>
      </c>
      <c r="AM17" s="14">
        <v>29.0</v>
      </c>
      <c r="AN17" s="14">
        <v>30.0</v>
      </c>
      <c r="AO17" s="14">
        <v>31.0</v>
      </c>
    </row>
    <row r="18">
      <c r="A18" s="9">
        <v>17.0</v>
      </c>
      <c r="B18" s="15"/>
      <c r="C18" s="19">
        <v>6.0</v>
      </c>
      <c r="D18" s="12"/>
      <c r="E18" s="12"/>
      <c r="F18" s="12" t="str">
        <f t="shared" si="1"/>
        <v>Vacant</v>
      </c>
      <c r="G18" s="12"/>
      <c r="H18" s="13">
        <f t="shared" si="2"/>
        <v>0</v>
      </c>
      <c r="I18" s="12"/>
      <c r="J18" s="12"/>
      <c r="K18" s="12">
        <v>1.0</v>
      </c>
      <c r="L18" s="14">
        <v>2.0</v>
      </c>
      <c r="M18" s="14">
        <v>3.0</v>
      </c>
      <c r="N18" s="14">
        <v>4.0</v>
      </c>
      <c r="O18" s="14">
        <v>5.0</v>
      </c>
      <c r="P18" s="14">
        <v>6.0</v>
      </c>
      <c r="Q18" s="14">
        <v>7.0</v>
      </c>
      <c r="R18" s="14">
        <v>8.0</v>
      </c>
      <c r="S18" s="14">
        <v>9.0</v>
      </c>
      <c r="T18" s="14">
        <v>10.0</v>
      </c>
      <c r="U18" s="14">
        <v>11.0</v>
      </c>
      <c r="V18" s="14">
        <v>12.0</v>
      </c>
      <c r="W18" s="14">
        <v>13.0</v>
      </c>
      <c r="X18" s="14">
        <v>14.0</v>
      </c>
      <c r="Y18" s="14">
        <v>15.0</v>
      </c>
      <c r="Z18" s="14">
        <v>16.0</v>
      </c>
      <c r="AA18" s="14">
        <v>17.0</v>
      </c>
      <c r="AB18" s="14">
        <v>18.0</v>
      </c>
      <c r="AC18" s="14">
        <v>19.0</v>
      </c>
      <c r="AD18" s="14">
        <v>20.0</v>
      </c>
      <c r="AE18" s="14">
        <v>21.0</v>
      </c>
      <c r="AF18" s="14">
        <v>22.0</v>
      </c>
      <c r="AG18" s="14">
        <v>23.0</v>
      </c>
      <c r="AH18" s="14">
        <v>24.0</v>
      </c>
      <c r="AI18" s="14">
        <v>25.0</v>
      </c>
      <c r="AJ18" s="14">
        <v>26.0</v>
      </c>
      <c r="AK18" s="14">
        <v>27.0</v>
      </c>
      <c r="AL18" s="14">
        <v>28.0</v>
      </c>
      <c r="AM18" s="14">
        <v>29.0</v>
      </c>
      <c r="AN18" s="14">
        <v>30.0</v>
      </c>
      <c r="AO18" s="14">
        <v>31.0</v>
      </c>
    </row>
    <row r="19">
      <c r="A19" s="9">
        <v>18.0</v>
      </c>
      <c r="B19" s="15"/>
      <c r="C19" s="19">
        <v>7.0</v>
      </c>
      <c r="D19" s="12"/>
      <c r="E19" s="12"/>
      <c r="F19" s="12" t="str">
        <f t="shared" si="1"/>
        <v>Vacant</v>
      </c>
      <c r="G19" s="12"/>
      <c r="H19" s="13">
        <f t="shared" si="2"/>
        <v>0</v>
      </c>
      <c r="I19" s="12"/>
      <c r="J19" s="12"/>
      <c r="K19" s="12">
        <v>1.0</v>
      </c>
      <c r="L19" s="14">
        <v>2.0</v>
      </c>
      <c r="M19" s="14">
        <v>3.0</v>
      </c>
      <c r="N19" s="14">
        <v>4.0</v>
      </c>
      <c r="O19" s="14">
        <v>5.0</v>
      </c>
      <c r="P19" s="14">
        <v>6.0</v>
      </c>
      <c r="Q19" s="14">
        <v>7.0</v>
      </c>
      <c r="R19" s="14">
        <v>8.0</v>
      </c>
      <c r="S19" s="14">
        <v>9.0</v>
      </c>
      <c r="T19" s="14">
        <v>10.0</v>
      </c>
      <c r="U19" s="14">
        <v>11.0</v>
      </c>
      <c r="V19" s="14">
        <v>12.0</v>
      </c>
      <c r="W19" s="14">
        <v>13.0</v>
      </c>
      <c r="X19" s="14">
        <v>14.0</v>
      </c>
      <c r="Y19" s="14">
        <v>15.0</v>
      </c>
      <c r="Z19" s="14">
        <v>16.0</v>
      </c>
      <c r="AA19" s="14">
        <v>17.0</v>
      </c>
      <c r="AB19" s="14">
        <v>18.0</v>
      </c>
      <c r="AC19" s="14">
        <v>19.0</v>
      </c>
      <c r="AD19" s="14">
        <v>20.0</v>
      </c>
      <c r="AE19" s="14">
        <v>21.0</v>
      </c>
      <c r="AF19" s="14">
        <v>22.0</v>
      </c>
      <c r="AG19" s="14">
        <v>23.0</v>
      </c>
      <c r="AH19" s="14">
        <v>24.0</v>
      </c>
      <c r="AI19" s="14">
        <v>25.0</v>
      </c>
      <c r="AJ19" s="14">
        <v>26.0</v>
      </c>
      <c r="AK19" s="14">
        <v>27.0</v>
      </c>
      <c r="AL19" s="14">
        <v>28.0</v>
      </c>
      <c r="AM19" s="14">
        <v>29.0</v>
      </c>
      <c r="AN19" s="14">
        <v>30.0</v>
      </c>
      <c r="AO19" s="14">
        <v>31.0</v>
      </c>
    </row>
    <row r="20">
      <c r="A20" s="9">
        <v>19.0</v>
      </c>
      <c r="B20" s="17"/>
      <c r="C20" s="19">
        <v>8.0</v>
      </c>
      <c r="D20" s="12"/>
      <c r="E20" s="12"/>
      <c r="F20" s="12" t="str">
        <f t="shared" si="1"/>
        <v>Vacant</v>
      </c>
      <c r="G20" s="12"/>
      <c r="H20" s="13">
        <f t="shared" si="2"/>
        <v>0</v>
      </c>
      <c r="I20" s="12"/>
      <c r="J20" s="12"/>
      <c r="K20" s="12">
        <v>1.0</v>
      </c>
      <c r="L20" s="14">
        <v>2.0</v>
      </c>
      <c r="M20" s="14">
        <v>3.0</v>
      </c>
      <c r="N20" s="14">
        <v>4.0</v>
      </c>
      <c r="O20" s="14">
        <v>5.0</v>
      </c>
      <c r="P20" s="14">
        <v>6.0</v>
      </c>
      <c r="Q20" s="14">
        <v>7.0</v>
      </c>
      <c r="R20" s="14">
        <v>8.0</v>
      </c>
      <c r="S20" s="14">
        <v>9.0</v>
      </c>
      <c r="T20" s="14">
        <v>10.0</v>
      </c>
      <c r="U20" s="14">
        <v>11.0</v>
      </c>
      <c r="V20" s="14">
        <v>12.0</v>
      </c>
      <c r="W20" s="14">
        <v>13.0</v>
      </c>
      <c r="X20" s="14">
        <v>14.0</v>
      </c>
      <c r="Y20" s="14">
        <v>15.0</v>
      </c>
      <c r="Z20" s="14">
        <v>16.0</v>
      </c>
      <c r="AA20" s="14">
        <v>17.0</v>
      </c>
      <c r="AB20" s="14">
        <v>18.0</v>
      </c>
      <c r="AC20" s="14">
        <v>19.0</v>
      </c>
      <c r="AD20" s="14">
        <v>20.0</v>
      </c>
      <c r="AE20" s="14">
        <v>21.0</v>
      </c>
      <c r="AF20" s="14">
        <v>22.0</v>
      </c>
      <c r="AG20" s="14">
        <v>23.0</v>
      </c>
      <c r="AH20" s="14">
        <v>24.0</v>
      </c>
      <c r="AI20" s="14">
        <v>25.0</v>
      </c>
      <c r="AJ20" s="14">
        <v>26.0</v>
      </c>
      <c r="AK20" s="14">
        <v>27.0</v>
      </c>
      <c r="AL20" s="14">
        <v>28.0</v>
      </c>
      <c r="AM20" s="14">
        <v>29.0</v>
      </c>
      <c r="AN20" s="14">
        <v>30.0</v>
      </c>
      <c r="AO20" s="14">
        <v>31.0</v>
      </c>
    </row>
    <row r="21">
      <c r="A21" s="9">
        <v>20.0</v>
      </c>
      <c r="B21" s="20" t="s">
        <v>13</v>
      </c>
      <c r="C21" s="21">
        <v>1.0</v>
      </c>
      <c r="D21" s="12"/>
      <c r="E21" s="12"/>
      <c r="F21" s="12" t="str">
        <f t="shared" si="1"/>
        <v>Vacant</v>
      </c>
      <c r="G21" s="12"/>
      <c r="H21" s="13">
        <f t="shared" si="2"/>
        <v>0</v>
      </c>
      <c r="I21" s="12"/>
      <c r="J21" s="12"/>
      <c r="K21" s="12">
        <v>1.0</v>
      </c>
      <c r="L21" s="14">
        <v>2.0</v>
      </c>
      <c r="M21" s="14">
        <v>3.0</v>
      </c>
      <c r="N21" s="14">
        <v>4.0</v>
      </c>
      <c r="O21" s="14">
        <v>5.0</v>
      </c>
      <c r="P21" s="14">
        <v>6.0</v>
      </c>
      <c r="Q21" s="14">
        <v>7.0</v>
      </c>
      <c r="R21" s="14">
        <v>8.0</v>
      </c>
      <c r="S21" s="14">
        <v>9.0</v>
      </c>
      <c r="T21" s="14">
        <v>10.0</v>
      </c>
      <c r="U21" s="14">
        <v>11.0</v>
      </c>
      <c r="V21" s="14">
        <v>12.0</v>
      </c>
      <c r="W21" s="14">
        <v>13.0</v>
      </c>
      <c r="X21" s="14">
        <v>14.0</v>
      </c>
      <c r="Y21" s="14">
        <v>15.0</v>
      </c>
      <c r="Z21" s="14">
        <v>16.0</v>
      </c>
      <c r="AA21" s="14">
        <v>17.0</v>
      </c>
      <c r="AB21" s="14">
        <v>18.0</v>
      </c>
      <c r="AC21" s="14">
        <v>19.0</v>
      </c>
      <c r="AD21" s="14">
        <v>20.0</v>
      </c>
      <c r="AE21" s="14">
        <v>21.0</v>
      </c>
      <c r="AF21" s="14">
        <v>22.0</v>
      </c>
      <c r="AG21" s="14">
        <v>23.0</v>
      </c>
      <c r="AH21" s="14">
        <v>24.0</v>
      </c>
      <c r="AI21" s="14">
        <v>25.0</v>
      </c>
      <c r="AJ21" s="14">
        <v>26.0</v>
      </c>
      <c r="AK21" s="14">
        <v>27.0</v>
      </c>
      <c r="AL21" s="14">
        <v>28.0</v>
      </c>
      <c r="AM21" s="14">
        <v>29.0</v>
      </c>
      <c r="AN21" s="14">
        <v>30.0</v>
      </c>
      <c r="AO21" s="14">
        <v>31.0</v>
      </c>
    </row>
    <row r="22">
      <c r="A22" s="9">
        <v>21.0</v>
      </c>
      <c r="B22" s="15"/>
      <c r="C22" s="21">
        <v>2.0</v>
      </c>
      <c r="D22" s="12"/>
      <c r="E22" s="12"/>
      <c r="F22" s="12" t="str">
        <f t="shared" si="1"/>
        <v>Vacant</v>
      </c>
      <c r="G22" s="12"/>
      <c r="H22" s="13">
        <f t="shared" si="2"/>
        <v>0</v>
      </c>
      <c r="I22" s="12"/>
      <c r="J22" s="12"/>
      <c r="K22" s="12">
        <v>1.0</v>
      </c>
      <c r="L22" s="14">
        <v>2.0</v>
      </c>
      <c r="M22" s="14">
        <v>3.0</v>
      </c>
      <c r="N22" s="14">
        <v>4.0</v>
      </c>
      <c r="O22" s="14">
        <v>5.0</v>
      </c>
      <c r="P22" s="14">
        <v>6.0</v>
      </c>
      <c r="Q22" s="14">
        <v>7.0</v>
      </c>
      <c r="R22" s="14">
        <v>8.0</v>
      </c>
      <c r="S22" s="14">
        <v>9.0</v>
      </c>
      <c r="T22" s="14">
        <v>10.0</v>
      </c>
      <c r="U22" s="14">
        <v>11.0</v>
      </c>
      <c r="V22" s="14">
        <v>12.0</v>
      </c>
      <c r="W22" s="14">
        <v>13.0</v>
      </c>
      <c r="X22" s="14">
        <v>14.0</v>
      </c>
      <c r="Y22" s="14">
        <v>15.0</v>
      </c>
      <c r="Z22" s="14">
        <v>16.0</v>
      </c>
      <c r="AA22" s="14">
        <v>17.0</v>
      </c>
      <c r="AB22" s="14">
        <v>18.0</v>
      </c>
      <c r="AC22" s="14">
        <v>19.0</v>
      </c>
      <c r="AD22" s="14">
        <v>20.0</v>
      </c>
      <c r="AE22" s="14">
        <v>21.0</v>
      </c>
      <c r="AF22" s="14">
        <v>22.0</v>
      </c>
      <c r="AG22" s="14">
        <v>23.0</v>
      </c>
      <c r="AH22" s="14">
        <v>24.0</v>
      </c>
      <c r="AI22" s="14">
        <v>25.0</v>
      </c>
      <c r="AJ22" s="14">
        <v>26.0</v>
      </c>
      <c r="AK22" s="14">
        <v>27.0</v>
      </c>
      <c r="AL22" s="14">
        <v>28.0</v>
      </c>
      <c r="AM22" s="14">
        <v>29.0</v>
      </c>
      <c r="AN22" s="14">
        <v>30.0</v>
      </c>
      <c r="AO22" s="14">
        <v>31.0</v>
      </c>
    </row>
    <row r="23">
      <c r="A23" s="9">
        <v>22.0</v>
      </c>
      <c r="B23" s="15"/>
      <c r="C23" s="21">
        <v>3.0</v>
      </c>
      <c r="D23" s="12"/>
      <c r="E23" s="12"/>
      <c r="F23" s="12" t="str">
        <f t="shared" si="1"/>
        <v>Vacant</v>
      </c>
      <c r="G23" s="12"/>
      <c r="H23" s="13">
        <f t="shared" si="2"/>
        <v>0</v>
      </c>
      <c r="I23" s="12"/>
      <c r="J23" s="12"/>
      <c r="K23" s="12">
        <v>1.0</v>
      </c>
      <c r="L23" s="14">
        <v>2.0</v>
      </c>
      <c r="M23" s="14">
        <v>3.0</v>
      </c>
      <c r="N23" s="14">
        <v>4.0</v>
      </c>
      <c r="O23" s="14">
        <v>5.0</v>
      </c>
      <c r="P23" s="14">
        <v>6.0</v>
      </c>
      <c r="Q23" s="14">
        <v>7.0</v>
      </c>
      <c r="R23" s="14">
        <v>8.0</v>
      </c>
      <c r="S23" s="14">
        <v>9.0</v>
      </c>
      <c r="T23" s="14">
        <v>10.0</v>
      </c>
      <c r="U23" s="14">
        <v>11.0</v>
      </c>
      <c r="V23" s="14">
        <v>12.0</v>
      </c>
      <c r="W23" s="14">
        <v>13.0</v>
      </c>
      <c r="X23" s="14">
        <v>14.0</v>
      </c>
      <c r="Y23" s="14">
        <v>15.0</v>
      </c>
      <c r="Z23" s="14">
        <v>16.0</v>
      </c>
      <c r="AA23" s="14">
        <v>17.0</v>
      </c>
      <c r="AB23" s="14">
        <v>18.0</v>
      </c>
      <c r="AC23" s="14">
        <v>19.0</v>
      </c>
      <c r="AD23" s="14">
        <v>20.0</v>
      </c>
      <c r="AE23" s="14">
        <v>21.0</v>
      </c>
      <c r="AF23" s="14">
        <v>22.0</v>
      </c>
      <c r="AG23" s="14">
        <v>23.0</v>
      </c>
      <c r="AH23" s="14">
        <v>24.0</v>
      </c>
      <c r="AI23" s="14">
        <v>25.0</v>
      </c>
      <c r="AJ23" s="14">
        <v>26.0</v>
      </c>
      <c r="AK23" s="14">
        <v>27.0</v>
      </c>
      <c r="AL23" s="14">
        <v>28.0</v>
      </c>
      <c r="AM23" s="14">
        <v>29.0</v>
      </c>
      <c r="AN23" s="14">
        <v>30.0</v>
      </c>
      <c r="AO23" s="14">
        <v>31.0</v>
      </c>
    </row>
    <row r="24">
      <c r="A24" s="9">
        <v>23.0</v>
      </c>
      <c r="B24" s="15"/>
      <c r="C24" s="21">
        <v>4.0</v>
      </c>
      <c r="D24" s="12"/>
      <c r="E24" s="12"/>
      <c r="F24" s="12" t="str">
        <f t="shared" si="1"/>
        <v>Vacant</v>
      </c>
      <c r="G24" s="12"/>
      <c r="H24" s="13">
        <f t="shared" si="2"/>
        <v>0</v>
      </c>
      <c r="I24" s="12"/>
      <c r="J24" s="12"/>
      <c r="K24" s="12">
        <v>1.0</v>
      </c>
      <c r="L24" s="14">
        <v>2.0</v>
      </c>
      <c r="M24" s="14">
        <v>3.0</v>
      </c>
      <c r="N24" s="14">
        <v>4.0</v>
      </c>
      <c r="O24" s="14">
        <v>5.0</v>
      </c>
      <c r="P24" s="14">
        <v>6.0</v>
      </c>
      <c r="Q24" s="14">
        <v>7.0</v>
      </c>
      <c r="R24" s="14">
        <v>8.0</v>
      </c>
      <c r="S24" s="14">
        <v>9.0</v>
      </c>
      <c r="T24" s="14">
        <v>10.0</v>
      </c>
      <c r="U24" s="14">
        <v>11.0</v>
      </c>
      <c r="V24" s="14">
        <v>12.0</v>
      </c>
      <c r="W24" s="14">
        <v>13.0</v>
      </c>
      <c r="X24" s="14">
        <v>14.0</v>
      </c>
      <c r="Y24" s="14">
        <v>15.0</v>
      </c>
      <c r="Z24" s="14">
        <v>16.0</v>
      </c>
      <c r="AA24" s="14">
        <v>17.0</v>
      </c>
      <c r="AB24" s="14">
        <v>18.0</v>
      </c>
      <c r="AC24" s="14">
        <v>19.0</v>
      </c>
      <c r="AD24" s="14">
        <v>20.0</v>
      </c>
      <c r="AE24" s="14">
        <v>21.0</v>
      </c>
      <c r="AF24" s="14">
        <v>22.0</v>
      </c>
      <c r="AG24" s="14">
        <v>23.0</v>
      </c>
      <c r="AH24" s="14">
        <v>24.0</v>
      </c>
      <c r="AI24" s="14">
        <v>25.0</v>
      </c>
      <c r="AJ24" s="14">
        <v>26.0</v>
      </c>
      <c r="AK24" s="14">
        <v>27.0</v>
      </c>
      <c r="AL24" s="14">
        <v>28.0</v>
      </c>
      <c r="AM24" s="14">
        <v>29.0</v>
      </c>
      <c r="AN24" s="14">
        <v>30.0</v>
      </c>
      <c r="AO24" s="14">
        <v>31.0</v>
      </c>
    </row>
    <row r="25">
      <c r="A25" s="9">
        <v>24.0</v>
      </c>
      <c r="B25" s="15"/>
      <c r="C25" s="21">
        <v>5.0</v>
      </c>
      <c r="D25" s="12"/>
      <c r="E25" s="12"/>
      <c r="F25" s="12" t="str">
        <f t="shared" si="1"/>
        <v>Vacant</v>
      </c>
      <c r="G25" s="12"/>
      <c r="H25" s="13">
        <f t="shared" si="2"/>
        <v>0</v>
      </c>
      <c r="I25" s="12"/>
      <c r="J25" s="12"/>
      <c r="K25" s="12">
        <v>1.0</v>
      </c>
      <c r="L25" s="14">
        <v>2.0</v>
      </c>
      <c r="M25" s="14">
        <v>3.0</v>
      </c>
      <c r="N25" s="14">
        <v>4.0</v>
      </c>
      <c r="O25" s="14">
        <v>5.0</v>
      </c>
      <c r="P25" s="14">
        <v>6.0</v>
      </c>
      <c r="Q25" s="14">
        <v>7.0</v>
      </c>
      <c r="R25" s="14">
        <v>8.0</v>
      </c>
      <c r="S25" s="14">
        <v>9.0</v>
      </c>
      <c r="T25" s="14">
        <v>10.0</v>
      </c>
      <c r="U25" s="14">
        <v>11.0</v>
      </c>
      <c r="V25" s="14">
        <v>12.0</v>
      </c>
      <c r="W25" s="14">
        <v>13.0</v>
      </c>
      <c r="X25" s="14">
        <v>14.0</v>
      </c>
      <c r="Y25" s="14">
        <v>15.0</v>
      </c>
      <c r="Z25" s="14">
        <v>16.0</v>
      </c>
      <c r="AA25" s="14">
        <v>17.0</v>
      </c>
      <c r="AB25" s="14">
        <v>18.0</v>
      </c>
      <c r="AC25" s="14">
        <v>19.0</v>
      </c>
      <c r="AD25" s="14">
        <v>20.0</v>
      </c>
      <c r="AE25" s="14">
        <v>21.0</v>
      </c>
      <c r="AF25" s="14">
        <v>22.0</v>
      </c>
      <c r="AG25" s="14">
        <v>23.0</v>
      </c>
      <c r="AH25" s="14">
        <v>24.0</v>
      </c>
      <c r="AI25" s="14">
        <v>25.0</v>
      </c>
      <c r="AJ25" s="14">
        <v>26.0</v>
      </c>
      <c r="AK25" s="14">
        <v>27.0</v>
      </c>
      <c r="AL25" s="14">
        <v>28.0</v>
      </c>
      <c r="AM25" s="14">
        <v>29.0</v>
      </c>
      <c r="AN25" s="14">
        <v>30.0</v>
      </c>
      <c r="AO25" s="14">
        <v>31.0</v>
      </c>
    </row>
    <row r="26">
      <c r="A26" s="9">
        <v>25.0</v>
      </c>
      <c r="B26" s="15"/>
      <c r="C26" s="21">
        <v>6.0</v>
      </c>
      <c r="D26" s="12"/>
      <c r="E26" s="12"/>
      <c r="F26" s="12" t="str">
        <f t="shared" si="1"/>
        <v>Vacant</v>
      </c>
      <c r="G26" s="12"/>
      <c r="H26" s="13">
        <f t="shared" si="2"/>
        <v>0</v>
      </c>
      <c r="I26" s="12"/>
      <c r="J26" s="12"/>
      <c r="K26" s="12">
        <v>1.0</v>
      </c>
      <c r="L26" s="14">
        <v>2.0</v>
      </c>
      <c r="M26" s="14">
        <v>3.0</v>
      </c>
      <c r="N26" s="14">
        <v>4.0</v>
      </c>
      <c r="O26" s="14">
        <v>5.0</v>
      </c>
      <c r="P26" s="14">
        <v>6.0</v>
      </c>
      <c r="Q26" s="14">
        <v>7.0</v>
      </c>
      <c r="R26" s="14">
        <v>8.0</v>
      </c>
      <c r="S26" s="14">
        <v>9.0</v>
      </c>
      <c r="T26" s="14">
        <v>10.0</v>
      </c>
      <c r="U26" s="14">
        <v>11.0</v>
      </c>
      <c r="V26" s="14">
        <v>12.0</v>
      </c>
      <c r="W26" s="14">
        <v>13.0</v>
      </c>
      <c r="X26" s="14">
        <v>14.0</v>
      </c>
      <c r="Y26" s="14">
        <v>15.0</v>
      </c>
      <c r="Z26" s="14">
        <v>16.0</v>
      </c>
      <c r="AA26" s="14">
        <v>17.0</v>
      </c>
      <c r="AB26" s="14">
        <v>18.0</v>
      </c>
      <c r="AC26" s="14">
        <v>19.0</v>
      </c>
      <c r="AD26" s="14">
        <v>20.0</v>
      </c>
      <c r="AE26" s="14">
        <v>21.0</v>
      </c>
      <c r="AF26" s="14">
        <v>22.0</v>
      </c>
      <c r="AG26" s="14">
        <v>23.0</v>
      </c>
      <c r="AH26" s="14">
        <v>24.0</v>
      </c>
      <c r="AI26" s="14">
        <v>25.0</v>
      </c>
      <c r="AJ26" s="14">
        <v>26.0</v>
      </c>
      <c r="AK26" s="14">
        <v>27.0</v>
      </c>
      <c r="AL26" s="14">
        <v>28.0</v>
      </c>
      <c r="AM26" s="14">
        <v>29.0</v>
      </c>
      <c r="AN26" s="14">
        <v>30.0</v>
      </c>
      <c r="AO26" s="14">
        <v>31.0</v>
      </c>
    </row>
    <row r="27">
      <c r="A27" s="9">
        <v>26.0</v>
      </c>
      <c r="B27" s="15"/>
      <c r="C27" s="21">
        <v>7.0</v>
      </c>
      <c r="D27" s="12"/>
      <c r="E27" s="12"/>
      <c r="F27" s="12" t="str">
        <f t="shared" si="1"/>
        <v>Vacant</v>
      </c>
      <c r="G27" s="12"/>
      <c r="H27" s="13">
        <f t="shared" si="2"/>
        <v>0</v>
      </c>
      <c r="I27" s="12"/>
      <c r="J27" s="12"/>
      <c r="K27" s="12">
        <v>1.0</v>
      </c>
      <c r="L27" s="14">
        <v>2.0</v>
      </c>
      <c r="M27" s="14">
        <v>3.0</v>
      </c>
      <c r="N27" s="14">
        <v>4.0</v>
      </c>
      <c r="O27" s="14">
        <v>5.0</v>
      </c>
      <c r="P27" s="14">
        <v>6.0</v>
      </c>
      <c r="Q27" s="14">
        <v>7.0</v>
      </c>
      <c r="R27" s="14">
        <v>8.0</v>
      </c>
      <c r="S27" s="14">
        <v>9.0</v>
      </c>
      <c r="T27" s="14">
        <v>10.0</v>
      </c>
      <c r="U27" s="14">
        <v>11.0</v>
      </c>
      <c r="V27" s="14">
        <v>12.0</v>
      </c>
      <c r="W27" s="14">
        <v>13.0</v>
      </c>
      <c r="X27" s="14">
        <v>14.0</v>
      </c>
      <c r="Y27" s="14">
        <v>15.0</v>
      </c>
      <c r="Z27" s="14">
        <v>16.0</v>
      </c>
      <c r="AA27" s="14">
        <v>17.0</v>
      </c>
      <c r="AB27" s="14">
        <v>18.0</v>
      </c>
      <c r="AC27" s="14">
        <v>19.0</v>
      </c>
      <c r="AD27" s="14">
        <v>20.0</v>
      </c>
      <c r="AE27" s="14">
        <v>21.0</v>
      </c>
      <c r="AF27" s="14">
        <v>22.0</v>
      </c>
      <c r="AG27" s="14">
        <v>23.0</v>
      </c>
      <c r="AH27" s="14">
        <v>24.0</v>
      </c>
      <c r="AI27" s="14">
        <v>25.0</v>
      </c>
      <c r="AJ27" s="14">
        <v>26.0</v>
      </c>
      <c r="AK27" s="14">
        <v>27.0</v>
      </c>
      <c r="AL27" s="14">
        <v>28.0</v>
      </c>
      <c r="AM27" s="14">
        <v>29.0</v>
      </c>
      <c r="AN27" s="14">
        <v>30.0</v>
      </c>
      <c r="AO27" s="14">
        <v>31.0</v>
      </c>
    </row>
    <row r="28">
      <c r="A28" s="9">
        <v>27.0</v>
      </c>
      <c r="B28" s="17"/>
      <c r="C28" s="21">
        <v>8.0</v>
      </c>
      <c r="D28" s="12"/>
      <c r="E28" s="12"/>
      <c r="F28" s="12" t="str">
        <f t="shared" si="1"/>
        <v>Vacant</v>
      </c>
      <c r="G28" s="12"/>
      <c r="H28" s="13">
        <f t="shared" si="2"/>
        <v>0</v>
      </c>
      <c r="I28" s="12"/>
      <c r="J28" s="12"/>
      <c r="K28" s="12">
        <v>1.0</v>
      </c>
      <c r="L28" s="14">
        <v>2.0</v>
      </c>
      <c r="M28" s="14">
        <v>3.0</v>
      </c>
      <c r="N28" s="14">
        <v>4.0</v>
      </c>
      <c r="O28" s="14">
        <v>5.0</v>
      </c>
      <c r="P28" s="14">
        <v>6.0</v>
      </c>
      <c r="Q28" s="14">
        <v>7.0</v>
      </c>
      <c r="R28" s="14">
        <v>8.0</v>
      </c>
      <c r="S28" s="14">
        <v>9.0</v>
      </c>
      <c r="T28" s="14">
        <v>10.0</v>
      </c>
      <c r="U28" s="14">
        <v>11.0</v>
      </c>
      <c r="V28" s="14">
        <v>12.0</v>
      </c>
      <c r="W28" s="14">
        <v>13.0</v>
      </c>
      <c r="X28" s="14">
        <v>14.0</v>
      </c>
      <c r="Y28" s="14">
        <v>15.0</v>
      </c>
      <c r="Z28" s="14">
        <v>16.0</v>
      </c>
      <c r="AA28" s="14">
        <v>17.0</v>
      </c>
      <c r="AB28" s="14">
        <v>18.0</v>
      </c>
      <c r="AC28" s="14">
        <v>19.0</v>
      </c>
      <c r="AD28" s="14">
        <v>20.0</v>
      </c>
      <c r="AE28" s="14">
        <v>21.0</v>
      </c>
      <c r="AF28" s="14">
        <v>22.0</v>
      </c>
      <c r="AG28" s="14">
        <v>23.0</v>
      </c>
      <c r="AH28" s="14">
        <v>24.0</v>
      </c>
      <c r="AI28" s="14">
        <v>25.0</v>
      </c>
      <c r="AJ28" s="14">
        <v>26.0</v>
      </c>
      <c r="AK28" s="14">
        <v>27.0</v>
      </c>
      <c r="AL28" s="14">
        <v>28.0</v>
      </c>
      <c r="AM28" s="14">
        <v>29.0</v>
      </c>
      <c r="AN28" s="14">
        <v>30.0</v>
      </c>
      <c r="AO28" s="14">
        <v>31.0</v>
      </c>
    </row>
    <row r="29">
      <c r="A29" s="9">
        <v>28.0</v>
      </c>
      <c r="B29" s="18" t="s">
        <v>14</v>
      </c>
      <c r="C29" s="19">
        <v>1.0</v>
      </c>
      <c r="D29" s="12"/>
      <c r="E29" s="12"/>
      <c r="F29" s="12" t="str">
        <f t="shared" si="1"/>
        <v>Vacant</v>
      </c>
      <c r="G29" s="12"/>
      <c r="H29" s="13">
        <f t="shared" si="2"/>
        <v>0</v>
      </c>
      <c r="I29" s="12"/>
      <c r="J29" s="12"/>
      <c r="K29" s="12">
        <v>1.0</v>
      </c>
      <c r="L29" s="14">
        <v>2.0</v>
      </c>
      <c r="M29" s="14">
        <v>3.0</v>
      </c>
      <c r="N29" s="14">
        <v>4.0</v>
      </c>
      <c r="O29" s="14">
        <v>5.0</v>
      </c>
      <c r="P29" s="14">
        <v>6.0</v>
      </c>
      <c r="Q29" s="14">
        <v>7.0</v>
      </c>
      <c r="R29" s="14">
        <v>8.0</v>
      </c>
      <c r="S29" s="14">
        <v>9.0</v>
      </c>
      <c r="T29" s="14">
        <v>10.0</v>
      </c>
      <c r="U29" s="14">
        <v>11.0</v>
      </c>
      <c r="V29" s="14">
        <v>12.0</v>
      </c>
      <c r="W29" s="14">
        <v>13.0</v>
      </c>
      <c r="X29" s="14">
        <v>14.0</v>
      </c>
      <c r="Y29" s="14">
        <v>15.0</v>
      </c>
      <c r="Z29" s="14">
        <v>16.0</v>
      </c>
      <c r="AA29" s="14">
        <v>17.0</v>
      </c>
      <c r="AB29" s="14">
        <v>18.0</v>
      </c>
      <c r="AC29" s="14">
        <v>19.0</v>
      </c>
      <c r="AD29" s="14">
        <v>20.0</v>
      </c>
      <c r="AE29" s="14">
        <v>21.0</v>
      </c>
      <c r="AF29" s="14">
        <v>22.0</v>
      </c>
      <c r="AG29" s="14">
        <v>23.0</v>
      </c>
      <c r="AH29" s="14">
        <v>24.0</v>
      </c>
      <c r="AI29" s="14">
        <v>25.0</v>
      </c>
      <c r="AJ29" s="14">
        <v>26.0</v>
      </c>
      <c r="AK29" s="14">
        <v>27.0</v>
      </c>
      <c r="AL29" s="14">
        <v>28.0</v>
      </c>
      <c r="AM29" s="14">
        <v>29.0</v>
      </c>
      <c r="AN29" s="14">
        <v>30.0</v>
      </c>
      <c r="AO29" s="14">
        <v>31.0</v>
      </c>
    </row>
    <row r="30">
      <c r="A30" s="9">
        <v>29.0</v>
      </c>
      <c r="B30" s="15"/>
      <c r="C30" s="19">
        <v>2.0</v>
      </c>
      <c r="D30" s="12"/>
      <c r="E30" s="12"/>
      <c r="F30" s="12" t="str">
        <f t="shared" si="1"/>
        <v>Vacant</v>
      </c>
      <c r="G30" s="12"/>
      <c r="H30" s="13">
        <f t="shared" si="2"/>
        <v>0</v>
      </c>
      <c r="I30" s="12"/>
      <c r="J30" s="12"/>
      <c r="K30" s="12">
        <v>1.0</v>
      </c>
      <c r="L30" s="14">
        <v>2.0</v>
      </c>
      <c r="M30" s="14">
        <v>3.0</v>
      </c>
      <c r="N30" s="14">
        <v>4.0</v>
      </c>
      <c r="O30" s="14">
        <v>5.0</v>
      </c>
      <c r="P30" s="14">
        <v>6.0</v>
      </c>
      <c r="Q30" s="14">
        <v>7.0</v>
      </c>
      <c r="R30" s="14">
        <v>8.0</v>
      </c>
      <c r="S30" s="14">
        <v>9.0</v>
      </c>
      <c r="T30" s="14">
        <v>10.0</v>
      </c>
      <c r="U30" s="14">
        <v>11.0</v>
      </c>
      <c r="V30" s="14">
        <v>12.0</v>
      </c>
      <c r="W30" s="14">
        <v>13.0</v>
      </c>
      <c r="X30" s="14">
        <v>14.0</v>
      </c>
      <c r="Y30" s="14">
        <v>15.0</v>
      </c>
      <c r="Z30" s="14">
        <v>16.0</v>
      </c>
      <c r="AA30" s="14">
        <v>17.0</v>
      </c>
      <c r="AB30" s="14">
        <v>18.0</v>
      </c>
      <c r="AC30" s="14">
        <v>19.0</v>
      </c>
      <c r="AD30" s="14">
        <v>20.0</v>
      </c>
      <c r="AE30" s="14">
        <v>21.0</v>
      </c>
      <c r="AF30" s="14">
        <v>22.0</v>
      </c>
      <c r="AG30" s="14">
        <v>23.0</v>
      </c>
      <c r="AH30" s="14">
        <v>24.0</v>
      </c>
      <c r="AI30" s="14">
        <v>25.0</v>
      </c>
      <c r="AJ30" s="14">
        <v>26.0</v>
      </c>
      <c r="AK30" s="14">
        <v>27.0</v>
      </c>
      <c r="AL30" s="14">
        <v>28.0</v>
      </c>
      <c r="AM30" s="14">
        <v>29.0</v>
      </c>
      <c r="AN30" s="14">
        <v>30.0</v>
      </c>
      <c r="AO30" s="14">
        <v>31.0</v>
      </c>
    </row>
    <row r="31">
      <c r="A31" s="9">
        <v>30.0</v>
      </c>
      <c r="B31" s="15"/>
      <c r="C31" s="19">
        <v>3.0</v>
      </c>
      <c r="D31" s="12"/>
      <c r="E31" s="12"/>
      <c r="F31" s="12" t="str">
        <f t="shared" si="1"/>
        <v>Vacant</v>
      </c>
      <c r="G31" s="12"/>
      <c r="H31" s="13">
        <f t="shared" si="2"/>
        <v>0</v>
      </c>
      <c r="I31" s="12"/>
      <c r="J31" s="12"/>
      <c r="K31" s="12">
        <v>1.0</v>
      </c>
      <c r="L31" s="14">
        <v>2.0</v>
      </c>
      <c r="M31" s="14">
        <v>3.0</v>
      </c>
      <c r="N31" s="14">
        <v>4.0</v>
      </c>
      <c r="O31" s="14">
        <v>5.0</v>
      </c>
      <c r="P31" s="14">
        <v>6.0</v>
      </c>
      <c r="Q31" s="14">
        <v>7.0</v>
      </c>
      <c r="R31" s="14">
        <v>8.0</v>
      </c>
      <c r="S31" s="14">
        <v>9.0</v>
      </c>
      <c r="T31" s="14">
        <v>10.0</v>
      </c>
      <c r="U31" s="14">
        <v>11.0</v>
      </c>
      <c r="V31" s="14">
        <v>12.0</v>
      </c>
      <c r="W31" s="14">
        <v>13.0</v>
      </c>
      <c r="X31" s="14">
        <v>14.0</v>
      </c>
      <c r="Y31" s="14">
        <v>15.0</v>
      </c>
      <c r="Z31" s="14">
        <v>16.0</v>
      </c>
      <c r="AA31" s="14">
        <v>17.0</v>
      </c>
      <c r="AB31" s="14">
        <v>18.0</v>
      </c>
      <c r="AC31" s="14">
        <v>19.0</v>
      </c>
      <c r="AD31" s="14">
        <v>20.0</v>
      </c>
      <c r="AE31" s="14">
        <v>21.0</v>
      </c>
      <c r="AF31" s="14">
        <v>22.0</v>
      </c>
      <c r="AG31" s="14">
        <v>23.0</v>
      </c>
      <c r="AH31" s="14">
        <v>24.0</v>
      </c>
      <c r="AI31" s="14">
        <v>25.0</v>
      </c>
      <c r="AJ31" s="14">
        <v>26.0</v>
      </c>
      <c r="AK31" s="14">
        <v>27.0</v>
      </c>
      <c r="AL31" s="14">
        <v>28.0</v>
      </c>
      <c r="AM31" s="14">
        <v>29.0</v>
      </c>
      <c r="AN31" s="14">
        <v>30.0</v>
      </c>
      <c r="AO31" s="14">
        <v>31.0</v>
      </c>
    </row>
    <row r="32">
      <c r="A32" s="9">
        <v>31.0</v>
      </c>
      <c r="B32" s="15"/>
      <c r="C32" s="19">
        <v>4.0</v>
      </c>
      <c r="D32" s="12"/>
      <c r="E32" s="12"/>
      <c r="F32" s="12" t="str">
        <f t="shared" si="1"/>
        <v>Vacant</v>
      </c>
      <c r="G32" s="12"/>
      <c r="H32" s="13">
        <f t="shared" si="2"/>
        <v>0</v>
      </c>
      <c r="I32" s="12"/>
      <c r="J32" s="12"/>
      <c r="K32" s="12">
        <v>1.0</v>
      </c>
      <c r="L32" s="14">
        <v>2.0</v>
      </c>
      <c r="M32" s="14">
        <v>3.0</v>
      </c>
      <c r="N32" s="14">
        <v>4.0</v>
      </c>
      <c r="O32" s="14">
        <v>5.0</v>
      </c>
      <c r="P32" s="14">
        <v>6.0</v>
      </c>
      <c r="Q32" s="14">
        <v>7.0</v>
      </c>
      <c r="R32" s="14">
        <v>8.0</v>
      </c>
      <c r="S32" s="14">
        <v>9.0</v>
      </c>
      <c r="T32" s="14">
        <v>10.0</v>
      </c>
      <c r="U32" s="14">
        <v>11.0</v>
      </c>
      <c r="V32" s="14">
        <v>12.0</v>
      </c>
      <c r="W32" s="14">
        <v>13.0</v>
      </c>
      <c r="X32" s="14">
        <v>14.0</v>
      </c>
      <c r="Y32" s="14">
        <v>15.0</v>
      </c>
      <c r="Z32" s="14">
        <v>16.0</v>
      </c>
      <c r="AA32" s="14">
        <v>17.0</v>
      </c>
      <c r="AB32" s="14">
        <v>18.0</v>
      </c>
      <c r="AC32" s="14">
        <v>19.0</v>
      </c>
      <c r="AD32" s="14">
        <v>20.0</v>
      </c>
      <c r="AE32" s="14">
        <v>21.0</v>
      </c>
      <c r="AF32" s="14">
        <v>22.0</v>
      </c>
      <c r="AG32" s="14">
        <v>23.0</v>
      </c>
      <c r="AH32" s="14">
        <v>24.0</v>
      </c>
      <c r="AI32" s="14">
        <v>25.0</v>
      </c>
      <c r="AJ32" s="14">
        <v>26.0</v>
      </c>
      <c r="AK32" s="14">
        <v>27.0</v>
      </c>
      <c r="AL32" s="14">
        <v>28.0</v>
      </c>
      <c r="AM32" s="14">
        <v>29.0</v>
      </c>
      <c r="AN32" s="14">
        <v>30.0</v>
      </c>
      <c r="AO32" s="14">
        <v>31.0</v>
      </c>
    </row>
    <row r="33">
      <c r="A33" s="9">
        <v>32.0</v>
      </c>
      <c r="B33" s="15"/>
      <c r="C33" s="19">
        <v>5.0</v>
      </c>
      <c r="D33" s="12"/>
      <c r="E33" s="12"/>
      <c r="F33" s="12" t="str">
        <f t="shared" si="1"/>
        <v>Vacant</v>
      </c>
      <c r="G33" s="12"/>
      <c r="H33" s="13">
        <f t="shared" si="2"/>
        <v>0</v>
      </c>
      <c r="I33" s="12"/>
      <c r="J33" s="12"/>
      <c r="K33" s="12">
        <v>1.0</v>
      </c>
      <c r="L33" s="14">
        <v>2.0</v>
      </c>
      <c r="M33" s="14">
        <v>3.0</v>
      </c>
      <c r="N33" s="14">
        <v>4.0</v>
      </c>
      <c r="O33" s="14">
        <v>5.0</v>
      </c>
      <c r="P33" s="14">
        <v>6.0</v>
      </c>
      <c r="Q33" s="14">
        <v>7.0</v>
      </c>
      <c r="R33" s="14">
        <v>8.0</v>
      </c>
      <c r="S33" s="14">
        <v>9.0</v>
      </c>
      <c r="T33" s="14">
        <v>10.0</v>
      </c>
      <c r="U33" s="14">
        <v>11.0</v>
      </c>
      <c r="V33" s="14">
        <v>12.0</v>
      </c>
      <c r="W33" s="14">
        <v>13.0</v>
      </c>
      <c r="X33" s="14">
        <v>14.0</v>
      </c>
      <c r="Y33" s="14">
        <v>15.0</v>
      </c>
      <c r="Z33" s="14">
        <v>16.0</v>
      </c>
      <c r="AA33" s="14">
        <v>17.0</v>
      </c>
      <c r="AB33" s="14">
        <v>18.0</v>
      </c>
      <c r="AC33" s="14">
        <v>19.0</v>
      </c>
      <c r="AD33" s="14">
        <v>20.0</v>
      </c>
      <c r="AE33" s="14">
        <v>21.0</v>
      </c>
      <c r="AF33" s="14">
        <v>22.0</v>
      </c>
      <c r="AG33" s="14">
        <v>23.0</v>
      </c>
      <c r="AH33" s="14">
        <v>24.0</v>
      </c>
      <c r="AI33" s="14">
        <v>25.0</v>
      </c>
      <c r="AJ33" s="14">
        <v>26.0</v>
      </c>
      <c r="AK33" s="14">
        <v>27.0</v>
      </c>
      <c r="AL33" s="14">
        <v>28.0</v>
      </c>
      <c r="AM33" s="14">
        <v>29.0</v>
      </c>
      <c r="AN33" s="14">
        <v>30.0</v>
      </c>
      <c r="AO33" s="14">
        <v>31.0</v>
      </c>
    </row>
    <row r="34">
      <c r="A34" s="9">
        <v>33.0</v>
      </c>
      <c r="B34" s="15"/>
      <c r="C34" s="19">
        <v>6.0</v>
      </c>
      <c r="D34" s="12"/>
      <c r="E34" s="12"/>
      <c r="F34" s="12" t="str">
        <f t="shared" si="1"/>
        <v>Vacant</v>
      </c>
      <c r="G34" s="12"/>
      <c r="H34" s="13">
        <f t="shared" si="2"/>
        <v>0</v>
      </c>
      <c r="I34" s="12"/>
      <c r="J34" s="12"/>
      <c r="K34" s="12">
        <v>1.0</v>
      </c>
      <c r="L34" s="14">
        <v>2.0</v>
      </c>
      <c r="M34" s="14">
        <v>3.0</v>
      </c>
      <c r="N34" s="14">
        <v>4.0</v>
      </c>
      <c r="O34" s="14">
        <v>5.0</v>
      </c>
      <c r="P34" s="14">
        <v>6.0</v>
      </c>
      <c r="Q34" s="14">
        <v>7.0</v>
      </c>
      <c r="R34" s="14">
        <v>8.0</v>
      </c>
      <c r="S34" s="14">
        <v>9.0</v>
      </c>
      <c r="T34" s="14">
        <v>10.0</v>
      </c>
      <c r="U34" s="14">
        <v>11.0</v>
      </c>
      <c r="V34" s="14">
        <v>12.0</v>
      </c>
      <c r="W34" s="14">
        <v>13.0</v>
      </c>
      <c r="X34" s="14">
        <v>14.0</v>
      </c>
      <c r="Y34" s="14">
        <v>15.0</v>
      </c>
      <c r="Z34" s="14">
        <v>16.0</v>
      </c>
      <c r="AA34" s="14">
        <v>17.0</v>
      </c>
      <c r="AB34" s="14">
        <v>18.0</v>
      </c>
      <c r="AC34" s="14">
        <v>19.0</v>
      </c>
      <c r="AD34" s="14">
        <v>20.0</v>
      </c>
      <c r="AE34" s="14">
        <v>21.0</v>
      </c>
      <c r="AF34" s="14">
        <v>22.0</v>
      </c>
      <c r="AG34" s="14">
        <v>23.0</v>
      </c>
      <c r="AH34" s="14">
        <v>24.0</v>
      </c>
      <c r="AI34" s="14">
        <v>25.0</v>
      </c>
      <c r="AJ34" s="14">
        <v>26.0</v>
      </c>
      <c r="AK34" s="14">
        <v>27.0</v>
      </c>
      <c r="AL34" s="14">
        <v>28.0</v>
      </c>
      <c r="AM34" s="14">
        <v>29.0</v>
      </c>
      <c r="AN34" s="14">
        <v>30.0</v>
      </c>
      <c r="AO34" s="14">
        <v>31.0</v>
      </c>
    </row>
    <row r="35">
      <c r="A35" s="9">
        <v>34.0</v>
      </c>
      <c r="B35" s="17"/>
      <c r="C35" s="19">
        <v>7.0</v>
      </c>
      <c r="D35" s="12"/>
      <c r="E35" s="12"/>
      <c r="F35" s="12" t="str">
        <f t="shared" si="1"/>
        <v>Vacant</v>
      </c>
      <c r="G35" s="12"/>
      <c r="H35" s="13">
        <f t="shared" si="2"/>
        <v>0</v>
      </c>
      <c r="I35" s="12"/>
      <c r="J35" s="12"/>
      <c r="K35" s="12">
        <v>1.0</v>
      </c>
      <c r="L35" s="14">
        <v>2.0</v>
      </c>
      <c r="M35" s="14">
        <v>3.0</v>
      </c>
      <c r="N35" s="14">
        <v>4.0</v>
      </c>
      <c r="O35" s="14">
        <v>5.0</v>
      </c>
      <c r="P35" s="14">
        <v>6.0</v>
      </c>
      <c r="Q35" s="14">
        <v>7.0</v>
      </c>
      <c r="R35" s="14">
        <v>8.0</v>
      </c>
      <c r="S35" s="14">
        <v>9.0</v>
      </c>
      <c r="T35" s="14">
        <v>10.0</v>
      </c>
      <c r="U35" s="14">
        <v>11.0</v>
      </c>
      <c r="V35" s="14">
        <v>12.0</v>
      </c>
      <c r="W35" s="14">
        <v>13.0</v>
      </c>
      <c r="X35" s="14">
        <v>14.0</v>
      </c>
      <c r="Y35" s="14">
        <v>15.0</v>
      </c>
      <c r="Z35" s="14">
        <v>16.0</v>
      </c>
      <c r="AA35" s="14">
        <v>17.0</v>
      </c>
      <c r="AB35" s="14">
        <v>18.0</v>
      </c>
      <c r="AC35" s="14">
        <v>19.0</v>
      </c>
      <c r="AD35" s="14">
        <v>20.0</v>
      </c>
      <c r="AE35" s="14">
        <v>21.0</v>
      </c>
      <c r="AF35" s="14">
        <v>22.0</v>
      </c>
      <c r="AG35" s="14">
        <v>23.0</v>
      </c>
      <c r="AH35" s="14">
        <v>24.0</v>
      </c>
      <c r="AI35" s="14">
        <v>25.0</v>
      </c>
      <c r="AJ35" s="14">
        <v>26.0</v>
      </c>
      <c r="AK35" s="14">
        <v>27.0</v>
      </c>
      <c r="AL35" s="14">
        <v>28.0</v>
      </c>
      <c r="AM35" s="14">
        <v>29.0</v>
      </c>
      <c r="AN35" s="14">
        <v>30.0</v>
      </c>
      <c r="AO35" s="14">
        <v>31.0</v>
      </c>
    </row>
    <row r="36">
      <c r="A36" s="9">
        <v>35.0</v>
      </c>
      <c r="B36" s="18" t="s">
        <v>15</v>
      </c>
      <c r="C36" s="19">
        <v>1.0</v>
      </c>
      <c r="D36" s="12"/>
      <c r="E36" s="12"/>
      <c r="F36" s="12" t="str">
        <f t="shared" si="1"/>
        <v>Vacant</v>
      </c>
      <c r="G36" s="12"/>
      <c r="H36" s="13">
        <f t="shared" si="2"/>
        <v>0</v>
      </c>
      <c r="I36" s="12"/>
      <c r="J36" s="12"/>
      <c r="K36" s="12">
        <v>1.0</v>
      </c>
      <c r="L36" s="14">
        <v>2.0</v>
      </c>
      <c r="M36" s="14">
        <v>3.0</v>
      </c>
      <c r="N36" s="14">
        <v>4.0</v>
      </c>
      <c r="O36" s="14">
        <v>5.0</v>
      </c>
      <c r="P36" s="14">
        <v>6.0</v>
      </c>
      <c r="Q36" s="14">
        <v>7.0</v>
      </c>
      <c r="R36" s="14">
        <v>8.0</v>
      </c>
      <c r="S36" s="14">
        <v>9.0</v>
      </c>
      <c r="T36" s="14">
        <v>10.0</v>
      </c>
      <c r="U36" s="14">
        <v>11.0</v>
      </c>
      <c r="V36" s="14">
        <v>12.0</v>
      </c>
      <c r="W36" s="14">
        <v>13.0</v>
      </c>
      <c r="X36" s="14">
        <v>14.0</v>
      </c>
      <c r="Y36" s="14">
        <v>15.0</v>
      </c>
      <c r="Z36" s="14">
        <v>16.0</v>
      </c>
      <c r="AA36" s="14">
        <v>17.0</v>
      </c>
      <c r="AB36" s="14">
        <v>18.0</v>
      </c>
      <c r="AC36" s="14">
        <v>19.0</v>
      </c>
      <c r="AD36" s="14">
        <v>20.0</v>
      </c>
      <c r="AE36" s="14">
        <v>21.0</v>
      </c>
      <c r="AF36" s="14">
        <v>22.0</v>
      </c>
      <c r="AG36" s="14">
        <v>23.0</v>
      </c>
      <c r="AH36" s="14">
        <v>24.0</v>
      </c>
      <c r="AI36" s="14">
        <v>25.0</v>
      </c>
      <c r="AJ36" s="14">
        <v>26.0</v>
      </c>
      <c r="AK36" s="14">
        <v>27.0</v>
      </c>
      <c r="AL36" s="14">
        <v>28.0</v>
      </c>
      <c r="AM36" s="14">
        <v>29.0</v>
      </c>
      <c r="AN36" s="14">
        <v>30.0</v>
      </c>
      <c r="AO36" s="14">
        <v>31.0</v>
      </c>
    </row>
    <row r="37">
      <c r="A37" s="9">
        <v>36.0</v>
      </c>
      <c r="B37" s="15"/>
      <c r="C37" s="19">
        <v>2.0</v>
      </c>
      <c r="D37" s="12"/>
      <c r="E37" s="12"/>
      <c r="F37" s="12" t="str">
        <f t="shared" si="1"/>
        <v>Vacant</v>
      </c>
      <c r="G37" s="12"/>
      <c r="H37" s="13">
        <f t="shared" si="2"/>
        <v>0</v>
      </c>
      <c r="I37" s="12"/>
      <c r="J37" s="12"/>
      <c r="K37" s="12">
        <v>1.0</v>
      </c>
      <c r="L37" s="14">
        <v>2.0</v>
      </c>
      <c r="M37" s="14">
        <v>3.0</v>
      </c>
      <c r="N37" s="14">
        <v>4.0</v>
      </c>
      <c r="O37" s="14">
        <v>5.0</v>
      </c>
      <c r="P37" s="14">
        <v>6.0</v>
      </c>
      <c r="Q37" s="14">
        <v>7.0</v>
      </c>
      <c r="R37" s="14">
        <v>8.0</v>
      </c>
      <c r="S37" s="14">
        <v>9.0</v>
      </c>
      <c r="T37" s="14">
        <v>10.0</v>
      </c>
      <c r="U37" s="14">
        <v>11.0</v>
      </c>
      <c r="V37" s="14">
        <v>12.0</v>
      </c>
      <c r="W37" s="14">
        <v>13.0</v>
      </c>
      <c r="X37" s="14">
        <v>14.0</v>
      </c>
      <c r="Y37" s="14">
        <v>15.0</v>
      </c>
      <c r="Z37" s="14">
        <v>16.0</v>
      </c>
      <c r="AA37" s="14">
        <v>17.0</v>
      </c>
      <c r="AB37" s="14">
        <v>18.0</v>
      </c>
      <c r="AC37" s="14">
        <v>19.0</v>
      </c>
      <c r="AD37" s="14">
        <v>20.0</v>
      </c>
      <c r="AE37" s="14">
        <v>21.0</v>
      </c>
      <c r="AF37" s="14">
        <v>22.0</v>
      </c>
      <c r="AG37" s="14">
        <v>23.0</v>
      </c>
      <c r="AH37" s="14">
        <v>24.0</v>
      </c>
      <c r="AI37" s="14">
        <v>25.0</v>
      </c>
      <c r="AJ37" s="14">
        <v>26.0</v>
      </c>
      <c r="AK37" s="14">
        <v>27.0</v>
      </c>
      <c r="AL37" s="14">
        <v>28.0</v>
      </c>
      <c r="AM37" s="14">
        <v>29.0</v>
      </c>
      <c r="AN37" s="14">
        <v>30.0</v>
      </c>
      <c r="AO37" s="14">
        <v>31.0</v>
      </c>
    </row>
    <row r="38">
      <c r="A38" s="9">
        <v>37.0</v>
      </c>
      <c r="B38" s="15"/>
      <c r="C38" s="19">
        <v>3.0</v>
      </c>
      <c r="D38" s="12"/>
      <c r="E38" s="12"/>
      <c r="F38" s="12" t="str">
        <f t="shared" si="1"/>
        <v>Vacant</v>
      </c>
      <c r="G38" s="12"/>
      <c r="H38" s="13">
        <f t="shared" si="2"/>
        <v>0</v>
      </c>
      <c r="I38" s="12"/>
      <c r="J38" s="12"/>
      <c r="K38" s="12">
        <v>1.0</v>
      </c>
      <c r="L38" s="14">
        <v>2.0</v>
      </c>
      <c r="M38" s="14">
        <v>3.0</v>
      </c>
      <c r="N38" s="14">
        <v>4.0</v>
      </c>
      <c r="O38" s="14">
        <v>5.0</v>
      </c>
      <c r="P38" s="14">
        <v>6.0</v>
      </c>
      <c r="Q38" s="14">
        <v>7.0</v>
      </c>
      <c r="R38" s="14">
        <v>8.0</v>
      </c>
      <c r="S38" s="14">
        <v>9.0</v>
      </c>
      <c r="T38" s="14">
        <v>10.0</v>
      </c>
      <c r="U38" s="14">
        <v>11.0</v>
      </c>
      <c r="V38" s="14">
        <v>12.0</v>
      </c>
      <c r="W38" s="14">
        <v>13.0</v>
      </c>
      <c r="X38" s="14">
        <v>14.0</v>
      </c>
      <c r="Y38" s="14">
        <v>15.0</v>
      </c>
      <c r="Z38" s="14">
        <v>16.0</v>
      </c>
      <c r="AA38" s="14">
        <v>17.0</v>
      </c>
      <c r="AB38" s="14">
        <v>18.0</v>
      </c>
      <c r="AC38" s="14">
        <v>19.0</v>
      </c>
      <c r="AD38" s="14">
        <v>20.0</v>
      </c>
      <c r="AE38" s="14">
        <v>21.0</v>
      </c>
      <c r="AF38" s="14">
        <v>22.0</v>
      </c>
      <c r="AG38" s="14">
        <v>23.0</v>
      </c>
      <c r="AH38" s="14">
        <v>24.0</v>
      </c>
      <c r="AI38" s="14">
        <v>25.0</v>
      </c>
      <c r="AJ38" s="14">
        <v>26.0</v>
      </c>
      <c r="AK38" s="14">
        <v>27.0</v>
      </c>
      <c r="AL38" s="14">
        <v>28.0</v>
      </c>
      <c r="AM38" s="14">
        <v>29.0</v>
      </c>
      <c r="AN38" s="14">
        <v>30.0</v>
      </c>
      <c r="AO38" s="14">
        <v>31.0</v>
      </c>
    </row>
    <row r="39">
      <c r="A39" s="9">
        <v>38.0</v>
      </c>
      <c r="B39" s="15"/>
      <c r="C39" s="19">
        <v>4.0</v>
      </c>
      <c r="D39" s="12"/>
      <c r="E39" s="12"/>
      <c r="F39" s="12" t="str">
        <f t="shared" si="1"/>
        <v>Vacant</v>
      </c>
      <c r="G39" s="12"/>
      <c r="H39" s="13">
        <f t="shared" si="2"/>
        <v>0</v>
      </c>
      <c r="I39" s="12"/>
      <c r="J39" s="12"/>
      <c r="K39" s="12">
        <v>1.0</v>
      </c>
      <c r="L39" s="14">
        <v>2.0</v>
      </c>
      <c r="M39" s="14">
        <v>3.0</v>
      </c>
      <c r="N39" s="14">
        <v>4.0</v>
      </c>
      <c r="O39" s="14">
        <v>5.0</v>
      </c>
      <c r="P39" s="14">
        <v>6.0</v>
      </c>
      <c r="Q39" s="14">
        <v>7.0</v>
      </c>
      <c r="R39" s="14">
        <v>8.0</v>
      </c>
      <c r="S39" s="14">
        <v>9.0</v>
      </c>
      <c r="T39" s="14">
        <v>10.0</v>
      </c>
      <c r="U39" s="14">
        <v>11.0</v>
      </c>
      <c r="V39" s="14">
        <v>12.0</v>
      </c>
      <c r="W39" s="14">
        <v>13.0</v>
      </c>
      <c r="X39" s="14">
        <v>14.0</v>
      </c>
      <c r="Y39" s="14">
        <v>15.0</v>
      </c>
      <c r="Z39" s="14">
        <v>16.0</v>
      </c>
      <c r="AA39" s="14">
        <v>17.0</v>
      </c>
      <c r="AB39" s="14">
        <v>18.0</v>
      </c>
      <c r="AC39" s="14">
        <v>19.0</v>
      </c>
      <c r="AD39" s="14">
        <v>20.0</v>
      </c>
      <c r="AE39" s="14">
        <v>21.0</v>
      </c>
      <c r="AF39" s="14">
        <v>22.0</v>
      </c>
      <c r="AG39" s="14">
        <v>23.0</v>
      </c>
      <c r="AH39" s="14">
        <v>24.0</v>
      </c>
      <c r="AI39" s="14">
        <v>25.0</v>
      </c>
      <c r="AJ39" s="14">
        <v>26.0</v>
      </c>
      <c r="AK39" s="14">
        <v>27.0</v>
      </c>
      <c r="AL39" s="14">
        <v>28.0</v>
      </c>
      <c r="AM39" s="14">
        <v>29.0</v>
      </c>
      <c r="AN39" s="14">
        <v>30.0</v>
      </c>
      <c r="AO39" s="14">
        <v>31.0</v>
      </c>
    </row>
    <row r="40">
      <c r="A40" s="9">
        <v>39.0</v>
      </c>
      <c r="B40" s="15"/>
      <c r="C40" s="19">
        <v>5.0</v>
      </c>
      <c r="D40" s="12"/>
      <c r="E40" s="12"/>
      <c r="F40" s="12" t="str">
        <f t="shared" si="1"/>
        <v>Vacant</v>
      </c>
      <c r="G40" s="12"/>
      <c r="H40" s="13">
        <f t="shared" si="2"/>
        <v>0</v>
      </c>
      <c r="I40" s="12"/>
      <c r="J40" s="12"/>
      <c r="K40" s="12">
        <v>1.0</v>
      </c>
      <c r="L40" s="14">
        <v>2.0</v>
      </c>
      <c r="M40" s="14">
        <v>3.0</v>
      </c>
      <c r="N40" s="14">
        <v>4.0</v>
      </c>
      <c r="O40" s="14">
        <v>5.0</v>
      </c>
      <c r="P40" s="14">
        <v>6.0</v>
      </c>
      <c r="Q40" s="14">
        <v>7.0</v>
      </c>
      <c r="R40" s="14">
        <v>8.0</v>
      </c>
      <c r="S40" s="14">
        <v>9.0</v>
      </c>
      <c r="T40" s="14">
        <v>10.0</v>
      </c>
      <c r="U40" s="14">
        <v>11.0</v>
      </c>
      <c r="V40" s="14">
        <v>12.0</v>
      </c>
      <c r="W40" s="14">
        <v>13.0</v>
      </c>
      <c r="X40" s="14">
        <v>14.0</v>
      </c>
      <c r="Y40" s="14">
        <v>15.0</v>
      </c>
      <c r="Z40" s="14">
        <v>16.0</v>
      </c>
      <c r="AA40" s="14">
        <v>17.0</v>
      </c>
      <c r="AB40" s="14">
        <v>18.0</v>
      </c>
      <c r="AC40" s="14">
        <v>19.0</v>
      </c>
      <c r="AD40" s="14">
        <v>20.0</v>
      </c>
      <c r="AE40" s="14">
        <v>21.0</v>
      </c>
      <c r="AF40" s="14">
        <v>22.0</v>
      </c>
      <c r="AG40" s="14">
        <v>23.0</v>
      </c>
      <c r="AH40" s="14">
        <v>24.0</v>
      </c>
      <c r="AI40" s="14">
        <v>25.0</v>
      </c>
      <c r="AJ40" s="14">
        <v>26.0</v>
      </c>
      <c r="AK40" s="14">
        <v>27.0</v>
      </c>
      <c r="AL40" s="14">
        <v>28.0</v>
      </c>
      <c r="AM40" s="14">
        <v>29.0</v>
      </c>
      <c r="AN40" s="14">
        <v>30.0</v>
      </c>
      <c r="AO40" s="14">
        <v>31.0</v>
      </c>
    </row>
    <row r="41">
      <c r="A41" s="9">
        <v>40.0</v>
      </c>
      <c r="B41" s="15"/>
      <c r="C41" s="19">
        <v>6.0</v>
      </c>
      <c r="D41" s="12"/>
      <c r="E41" s="12"/>
      <c r="F41" s="12" t="str">
        <f t="shared" si="1"/>
        <v>Vacant</v>
      </c>
      <c r="G41" s="12"/>
      <c r="H41" s="13">
        <f t="shared" si="2"/>
        <v>0</v>
      </c>
      <c r="I41" s="12"/>
      <c r="J41" s="12"/>
      <c r="K41" s="12">
        <v>1.0</v>
      </c>
      <c r="L41" s="14">
        <v>2.0</v>
      </c>
      <c r="M41" s="14">
        <v>3.0</v>
      </c>
      <c r="N41" s="14">
        <v>4.0</v>
      </c>
      <c r="O41" s="14">
        <v>5.0</v>
      </c>
      <c r="P41" s="14">
        <v>6.0</v>
      </c>
      <c r="Q41" s="14">
        <v>7.0</v>
      </c>
      <c r="R41" s="14">
        <v>8.0</v>
      </c>
      <c r="S41" s="14">
        <v>9.0</v>
      </c>
      <c r="T41" s="14">
        <v>10.0</v>
      </c>
      <c r="U41" s="14">
        <v>11.0</v>
      </c>
      <c r="V41" s="14">
        <v>12.0</v>
      </c>
      <c r="W41" s="14">
        <v>13.0</v>
      </c>
      <c r="X41" s="14">
        <v>14.0</v>
      </c>
      <c r="Y41" s="14">
        <v>15.0</v>
      </c>
      <c r="Z41" s="14">
        <v>16.0</v>
      </c>
      <c r="AA41" s="14">
        <v>17.0</v>
      </c>
      <c r="AB41" s="14">
        <v>18.0</v>
      </c>
      <c r="AC41" s="14">
        <v>19.0</v>
      </c>
      <c r="AD41" s="14">
        <v>20.0</v>
      </c>
      <c r="AE41" s="14">
        <v>21.0</v>
      </c>
      <c r="AF41" s="14">
        <v>22.0</v>
      </c>
      <c r="AG41" s="14">
        <v>23.0</v>
      </c>
      <c r="AH41" s="14">
        <v>24.0</v>
      </c>
      <c r="AI41" s="14">
        <v>25.0</v>
      </c>
      <c r="AJ41" s="14">
        <v>26.0</v>
      </c>
      <c r="AK41" s="14">
        <v>27.0</v>
      </c>
      <c r="AL41" s="14">
        <v>28.0</v>
      </c>
      <c r="AM41" s="14">
        <v>29.0</v>
      </c>
      <c r="AN41" s="14">
        <v>30.0</v>
      </c>
      <c r="AO41" s="14">
        <v>31.0</v>
      </c>
    </row>
    <row r="42">
      <c r="A42" s="9">
        <v>41.0</v>
      </c>
      <c r="B42" s="17"/>
      <c r="C42" s="19">
        <v>7.0</v>
      </c>
      <c r="D42" s="12"/>
      <c r="E42" s="12"/>
      <c r="F42" s="12" t="str">
        <f t="shared" si="1"/>
        <v>Vacant</v>
      </c>
      <c r="G42" s="12"/>
      <c r="H42" s="13">
        <f t="shared" si="2"/>
        <v>0</v>
      </c>
      <c r="I42" s="12"/>
      <c r="J42" s="12"/>
      <c r="K42" s="12">
        <v>1.0</v>
      </c>
      <c r="L42" s="14">
        <v>2.0</v>
      </c>
      <c r="M42" s="14">
        <v>3.0</v>
      </c>
      <c r="N42" s="14">
        <v>4.0</v>
      </c>
      <c r="O42" s="14">
        <v>5.0</v>
      </c>
      <c r="P42" s="14">
        <v>6.0</v>
      </c>
      <c r="Q42" s="14">
        <v>7.0</v>
      </c>
      <c r="R42" s="14">
        <v>8.0</v>
      </c>
      <c r="S42" s="14">
        <v>9.0</v>
      </c>
      <c r="T42" s="14">
        <v>10.0</v>
      </c>
      <c r="U42" s="14">
        <v>11.0</v>
      </c>
      <c r="V42" s="14">
        <v>12.0</v>
      </c>
      <c r="W42" s="14">
        <v>13.0</v>
      </c>
      <c r="X42" s="14">
        <v>14.0</v>
      </c>
      <c r="Y42" s="14">
        <v>15.0</v>
      </c>
      <c r="Z42" s="14">
        <v>16.0</v>
      </c>
      <c r="AA42" s="14">
        <v>17.0</v>
      </c>
      <c r="AB42" s="14">
        <v>18.0</v>
      </c>
      <c r="AC42" s="14">
        <v>19.0</v>
      </c>
      <c r="AD42" s="14">
        <v>20.0</v>
      </c>
      <c r="AE42" s="14">
        <v>21.0</v>
      </c>
      <c r="AF42" s="14">
        <v>22.0</v>
      </c>
      <c r="AG42" s="14">
        <v>23.0</v>
      </c>
      <c r="AH42" s="14">
        <v>24.0</v>
      </c>
      <c r="AI42" s="14">
        <v>25.0</v>
      </c>
      <c r="AJ42" s="14">
        <v>26.0</v>
      </c>
      <c r="AK42" s="14">
        <v>27.0</v>
      </c>
      <c r="AL42" s="14">
        <v>28.0</v>
      </c>
      <c r="AM42" s="14">
        <v>29.0</v>
      </c>
      <c r="AN42" s="14">
        <v>30.0</v>
      </c>
      <c r="AO42" s="14">
        <v>31.0</v>
      </c>
    </row>
    <row r="43">
      <c r="A43" s="9">
        <v>42.0</v>
      </c>
      <c r="B43" s="18" t="s">
        <v>16</v>
      </c>
      <c r="C43" s="19">
        <v>1.0</v>
      </c>
      <c r="D43" s="12"/>
      <c r="E43" s="12"/>
      <c r="F43" s="12" t="str">
        <f t="shared" si="1"/>
        <v>Vacant</v>
      </c>
      <c r="G43" s="12"/>
      <c r="H43" s="13">
        <f t="shared" si="2"/>
        <v>0</v>
      </c>
      <c r="I43" s="12"/>
      <c r="J43" s="12"/>
      <c r="K43" s="12">
        <v>1.0</v>
      </c>
      <c r="L43" s="14">
        <v>2.0</v>
      </c>
      <c r="M43" s="14">
        <v>3.0</v>
      </c>
      <c r="N43" s="14">
        <v>4.0</v>
      </c>
      <c r="O43" s="14">
        <v>5.0</v>
      </c>
      <c r="P43" s="14">
        <v>6.0</v>
      </c>
      <c r="Q43" s="14">
        <v>7.0</v>
      </c>
      <c r="R43" s="14">
        <v>8.0</v>
      </c>
      <c r="S43" s="14">
        <v>9.0</v>
      </c>
      <c r="T43" s="14">
        <v>10.0</v>
      </c>
      <c r="U43" s="14">
        <v>11.0</v>
      </c>
      <c r="V43" s="14">
        <v>12.0</v>
      </c>
      <c r="W43" s="14">
        <v>13.0</v>
      </c>
      <c r="X43" s="14">
        <v>14.0</v>
      </c>
      <c r="Y43" s="14">
        <v>15.0</v>
      </c>
      <c r="Z43" s="14">
        <v>16.0</v>
      </c>
      <c r="AA43" s="14">
        <v>17.0</v>
      </c>
      <c r="AB43" s="14">
        <v>18.0</v>
      </c>
      <c r="AC43" s="14">
        <v>19.0</v>
      </c>
      <c r="AD43" s="14">
        <v>20.0</v>
      </c>
      <c r="AE43" s="14">
        <v>21.0</v>
      </c>
      <c r="AF43" s="14">
        <v>22.0</v>
      </c>
      <c r="AG43" s="14">
        <v>23.0</v>
      </c>
      <c r="AH43" s="14">
        <v>24.0</v>
      </c>
      <c r="AI43" s="14">
        <v>25.0</v>
      </c>
      <c r="AJ43" s="14">
        <v>26.0</v>
      </c>
      <c r="AK43" s="14">
        <v>27.0</v>
      </c>
      <c r="AL43" s="14">
        <v>28.0</v>
      </c>
      <c r="AM43" s="14">
        <v>29.0</v>
      </c>
      <c r="AN43" s="14">
        <v>30.0</v>
      </c>
      <c r="AO43" s="14">
        <v>31.0</v>
      </c>
    </row>
    <row r="44">
      <c r="A44" s="9">
        <v>43.0</v>
      </c>
      <c r="B44" s="15"/>
      <c r="C44" s="19">
        <v>2.0</v>
      </c>
      <c r="D44" s="12"/>
      <c r="E44" s="12"/>
      <c r="F44" s="12" t="str">
        <f t="shared" si="1"/>
        <v>Vacant</v>
      </c>
      <c r="G44" s="12"/>
      <c r="H44" s="13">
        <f t="shared" si="2"/>
        <v>0</v>
      </c>
      <c r="I44" s="12"/>
      <c r="J44" s="12"/>
      <c r="K44" s="12">
        <v>1.0</v>
      </c>
      <c r="L44" s="14">
        <v>2.0</v>
      </c>
      <c r="M44" s="14">
        <v>3.0</v>
      </c>
      <c r="N44" s="14">
        <v>4.0</v>
      </c>
      <c r="O44" s="14">
        <v>5.0</v>
      </c>
      <c r="P44" s="14">
        <v>6.0</v>
      </c>
      <c r="Q44" s="14">
        <v>7.0</v>
      </c>
      <c r="R44" s="14">
        <v>8.0</v>
      </c>
      <c r="S44" s="14">
        <v>9.0</v>
      </c>
      <c r="T44" s="14">
        <v>10.0</v>
      </c>
      <c r="U44" s="14">
        <v>11.0</v>
      </c>
      <c r="V44" s="14">
        <v>12.0</v>
      </c>
      <c r="W44" s="14">
        <v>13.0</v>
      </c>
      <c r="X44" s="14">
        <v>14.0</v>
      </c>
      <c r="Y44" s="14">
        <v>15.0</v>
      </c>
      <c r="Z44" s="14">
        <v>16.0</v>
      </c>
      <c r="AA44" s="14">
        <v>17.0</v>
      </c>
      <c r="AB44" s="14">
        <v>18.0</v>
      </c>
      <c r="AC44" s="14">
        <v>19.0</v>
      </c>
      <c r="AD44" s="14">
        <v>20.0</v>
      </c>
      <c r="AE44" s="14">
        <v>21.0</v>
      </c>
      <c r="AF44" s="14">
        <v>22.0</v>
      </c>
      <c r="AG44" s="14">
        <v>23.0</v>
      </c>
      <c r="AH44" s="14">
        <v>24.0</v>
      </c>
      <c r="AI44" s="14">
        <v>25.0</v>
      </c>
      <c r="AJ44" s="14">
        <v>26.0</v>
      </c>
      <c r="AK44" s="14">
        <v>27.0</v>
      </c>
      <c r="AL44" s="14">
        <v>28.0</v>
      </c>
      <c r="AM44" s="14">
        <v>29.0</v>
      </c>
      <c r="AN44" s="14">
        <v>30.0</v>
      </c>
      <c r="AO44" s="14">
        <v>31.0</v>
      </c>
    </row>
    <row r="45">
      <c r="A45" s="9">
        <v>44.0</v>
      </c>
      <c r="B45" s="15"/>
      <c r="C45" s="19">
        <v>3.0</v>
      </c>
      <c r="D45" s="12"/>
      <c r="E45" s="12"/>
      <c r="F45" s="12" t="str">
        <f t="shared" si="1"/>
        <v>Vacant</v>
      </c>
      <c r="G45" s="12"/>
      <c r="H45" s="13">
        <f t="shared" si="2"/>
        <v>0</v>
      </c>
      <c r="I45" s="12"/>
      <c r="J45" s="12"/>
      <c r="K45" s="12">
        <v>1.0</v>
      </c>
      <c r="L45" s="14">
        <v>2.0</v>
      </c>
      <c r="M45" s="14">
        <v>3.0</v>
      </c>
      <c r="N45" s="14">
        <v>4.0</v>
      </c>
      <c r="O45" s="14">
        <v>5.0</v>
      </c>
      <c r="P45" s="14">
        <v>6.0</v>
      </c>
      <c r="Q45" s="14">
        <v>7.0</v>
      </c>
      <c r="R45" s="14">
        <v>8.0</v>
      </c>
      <c r="S45" s="14">
        <v>9.0</v>
      </c>
      <c r="T45" s="14">
        <v>10.0</v>
      </c>
      <c r="U45" s="14">
        <v>11.0</v>
      </c>
      <c r="V45" s="14">
        <v>12.0</v>
      </c>
      <c r="W45" s="14">
        <v>13.0</v>
      </c>
      <c r="X45" s="14">
        <v>14.0</v>
      </c>
      <c r="Y45" s="14">
        <v>15.0</v>
      </c>
      <c r="Z45" s="14">
        <v>16.0</v>
      </c>
      <c r="AA45" s="14">
        <v>17.0</v>
      </c>
      <c r="AB45" s="14">
        <v>18.0</v>
      </c>
      <c r="AC45" s="14">
        <v>19.0</v>
      </c>
      <c r="AD45" s="14">
        <v>20.0</v>
      </c>
      <c r="AE45" s="14">
        <v>21.0</v>
      </c>
      <c r="AF45" s="14">
        <v>22.0</v>
      </c>
      <c r="AG45" s="14">
        <v>23.0</v>
      </c>
      <c r="AH45" s="14">
        <v>24.0</v>
      </c>
      <c r="AI45" s="14">
        <v>25.0</v>
      </c>
      <c r="AJ45" s="14">
        <v>26.0</v>
      </c>
      <c r="AK45" s="14">
        <v>27.0</v>
      </c>
      <c r="AL45" s="14">
        <v>28.0</v>
      </c>
      <c r="AM45" s="14">
        <v>29.0</v>
      </c>
      <c r="AN45" s="14">
        <v>30.0</v>
      </c>
      <c r="AO45" s="14">
        <v>31.0</v>
      </c>
    </row>
    <row r="46">
      <c r="A46" s="9">
        <v>45.0</v>
      </c>
      <c r="B46" s="15"/>
      <c r="C46" s="19">
        <v>4.0</v>
      </c>
      <c r="D46" s="12"/>
      <c r="E46" s="12"/>
      <c r="F46" s="12" t="str">
        <f t="shared" si="1"/>
        <v>Vacant</v>
      </c>
      <c r="G46" s="12"/>
      <c r="H46" s="13">
        <f t="shared" si="2"/>
        <v>0</v>
      </c>
      <c r="I46" s="12"/>
      <c r="J46" s="12"/>
      <c r="K46" s="12">
        <v>1.0</v>
      </c>
      <c r="L46" s="14">
        <v>2.0</v>
      </c>
      <c r="M46" s="14">
        <v>3.0</v>
      </c>
      <c r="N46" s="14">
        <v>4.0</v>
      </c>
      <c r="O46" s="14">
        <v>5.0</v>
      </c>
      <c r="P46" s="14">
        <v>6.0</v>
      </c>
      <c r="Q46" s="14">
        <v>7.0</v>
      </c>
      <c r="R46" s="14">
        <v>8.0</v>
      </c>
      <c r="S46" s="14">
        <v>9.0</v>
      </c>
      <c r="T46" s="14">
        <v>10.0</v>
      </c>
      <c r="U46" s="14">
        <v>11.0</v>
      </c>
      <c r="V46" s="14">
        <v>12.0</v>
      </c>
      <c r="W46" s="14">
        <v>13.0</v>
      </c>
      <c r="X46" s="14">
        <v>14.0</v>
      </c>
      <c r="Y46" s="14">
        <v>15.0</v>
      </c>
      <c r="Z46" s="14">
        <v>16.0</v>
      </c>
      <c r="AA46" s="14">
        <v>17.0</v>
      </c>
      <c r="AB46" s="14">
        <v>18.0</v>
      </c>
      <c r="AC46" s="14">
        <v>19.0</v>
      </c>
      <c r="AD46" s="14">
        <v>20.0</v>
      </c>
      <c r="AE46" s="14">
        <v>21.0</v>
      </c>
      <c r="AF46" s="14">
        <v>22.0</v>
      </c>
      <c r="AG46" s="14">
        <v>23.0</v>
      </c>
      <c r="AH46" s="14">
        <v>24.0</v>
      </c>
      <c r="AI46" s="14">
        <v>25.0</v>
      </c>
      <c r="AJ46" s="14">
        <v>26.0</v>
      </c>
      <c r="AK46" s="14">
        <v>27.0</v>
      </c>
      <c r="AL46" s="14">
        <v>28.0</v>
      </c>
      <c r="AM46" s="14">
        <v>29.0</v>
      </c>
      <c r="AN46" s="14">
        <v>30.0</v>
      </c>
      <c r="AO46" s="14">
        <v>31.0</v>
      </c>
    </row>
    <row r="47">
      <c r="A47" s="9">
        <v>46.0</v>
      </c>
      <c r="B47" s="15"/>
      <c r="C47" s="19">
        <v>5.0</v>
      </c>
      <c r="D47" s="12"/>
      <c r="E47" s="12"/>
      <c r="F47" s="12" t="str">
        <f t="shared" si="1"/>
        <v>Vacant</v>
      </c>
      <c r="G47" s="12"/>
      <c r="H47" s="13">
        <f t="shared" si="2"/>
        <v>0</v>
      </c>
      <c r="I47" s="12"/>
      <c r="J47" s="12"/>
      <c r="K47" s="12">
        <v>1.0</v>
      </c>
      <c r="L47" s="14">
        <v>2.0</v>
      </c>
      <c r="M47" s="14">
        <v>3.0</v>
      </c>
      <c r="N47" s="14">
        <v>4.0</v>
      </c>
      <c r="O47" s="14">
        <v>5.0</v>
      </c>
      <c r="P47" s="14">
        <v>6.0</v>
      </c>
      <c r="Q47" s="14">
        <v>7.0</v>
      </c>
      <c r="R47" s="14">
        <v>8.0</v>
      </c>
      <c r="S47" s="14">
        <v>9.0</v>
      </c>
      <c r="T47" s="14">
        <v>10.0</v>
      </c>
      <c r="U47" s="14">
        <v>11.0</v>
      </c>
      <c r="V47" s="14">
        <v>12.0</v>
      </c>
      <c r="W47" s="14">
        <v>13.0</v>
      </c>
      <c r="X47" s="14">
        <v>14.0</v>
      </c>
      <c r="Y47" s="14">
        <v>15.0</v>
      </c>
      <c r="Z47" s="14">
        <v>16.0</v>
      </c>
      <c r="AA47" s="14">
        <v>17.0</v>
      </c>
      <c r="AB47" s="14">
        <v>18.0</v>
      </c>
      <c r="AC47" s="14">
        <v>19.0</v>
      </c>
      <c r="AD47" s="14">
        <v>20.0</v>
      </c>
      <c r="AE47" s="14">
        <v>21.0</v>
      </c>
      <c r="AF47" s="14">
        <v>22.0</v>
      </c>
      <c r="AG47" s="14">
        <v>23.0</v>
      </c>
      <c r="AH47" s="14">
        <v>24.0</v>
      </c>
      <c r="AI47" s="14">
        <v>25.0</v>
      </c>
      <c r="AJ47" s="14">
        <v>26.0</v>
      </c>
      <c r="AK47" s="14">
        <v>27.0</v>
      </c>
      <c r="AL47" s="14">
        <v>28.0</v>
      </c>
      <c r="AM47" s="14">
        <v>29.0</v>
      </c>
      <c r="AN47" s="14">
        <v>30.0</v>
      </c>
      <c r="AO47" s="14">
        <v>31.0</v>
      </c>
    </row>
    <row r="48">
      <c r="A48" s="9">
        <v>47.0</v>
      </c>
      <c r="B48" s="15"/>
      <c r="C48" s="19">
        <v>6.0</v>
      </c>
      <c r="D48" s="12"/>
      <c r="E48" s="12"/>
      <c r="F48" s="12" t="str">
        <f t="shared" si="1"/>
        <v>Vacant</v>
      </c>
      <c r="G48" s="12"/>
      <c r="H48" s="13">
        <f t="shared" si="2"/>
        <v>0</v>
      </c>
      <c r="I48" s="12"/>
      <c r="J48" s="12"/>
      <c r="K48" s="12">
        <v>1.0</v>
      </c>
      <c r="L48" s="14">
        <v>2.0</v>
      </c>
      <c r="M48" s="14">
        <v>3.0</v>
      </c>
      <c r="N48" s="14">
        <v>4.0</v>
      </c>
      <c r="O48" s="14">
        <v>5.0</v>
      </c>
      <c r="P48" s="14">
        <v>6.0</v>
      </c>
      <c r="Q48" s="14">
        <v>7.0</v>
      </c>
      <c r="R48" s="14">
        <v>8.0</v>
      </c>
      <c r="S48" s="14">
        <v>9.0</v>
      </c>
      <c r="T48" s="14">
        <v>10.0</v>
      </c>
      <c r="U48" s="14">
        <v>11.0</v>
      </c>
      <c r="V48" s="14">
        <v>12.0</v>
      </c>
      <c r="W48" s="14">
        <v>13.0</v>
      </c>
      <c r="X48" s="14">
        <v>14.0</v>
      </c>
      <c r="Y48" s="14">
        <v>15.0</v>
      </c>
      <c r="Z48" s="14">
        <v>16.0</v>
      </c>
      <c r="AA48" s="14">
        <v>17.0</v>
      </c>
      <c r="AB48" s="14">
        <v>18.0</v>
      </c>
      <c r="AC48" s="14">
        <v>19.0</v>
      </c>
      <c r="AD48" s="14">
        <v>20.0</v>
      </c>
      <c r="AE48" s="14">
        <v>21.0</v>
      </c>
      <c r="AF48" s="14">
        <v>22.0</v>
      </c>
      <c r="AG48" s="14">
        <v>23.0</v>
      </c>
      <c r="AH48" s="14">
        <v>24.0</v>
      </c>
      <c r="AI48" s="14">
        <v>25.0</v>
      </c>
      <c r="AJ48" s="14">
        <v>26.0</v>
      </c>
      <c r="AK48" s="14">
        <v>27.0</v>
      </c>
      <c r="AL48" s="14">
        <v>28.0</v>
      </c>
      <c r="AM48" s="14">
        <v>29.0</v>
      </c>
      <c r="AN48" s="14">
        <v>30.0</v>
      </c>
      <c r="AO48" s="14">
        <v>31.0</v>
      </c>
    </row>
    <row r="49">
      <c r="A49" s="9">
        <v>48.0</v>
      </c>
      <c r="B49" s="17"/>
      <c r="C49" s="19">
        <v>7.0</v>
      </c>
      <c r="D49" s="12"/>
      <c r="E49" s="12"/>
      <c r="F49" s="12" t="str">
        <f t="shared" si="1"/>
        <v>Vacant</v>
      </c>
      <c r="G49" s="12"/>
      <c r="H49" s="13">
        <f t="shared" si="2"/>
        <v>0</v>
      </c>
      <c r="I49" s="12"/>
      <c r="J49" s="12"/>
      <c r="K49" s="12">
        <v>1.0</v>
      </c>
      <c r="L49" s="14">
        <v>2.0</v>
      </c>
      <c r="M49" s="14">
        <v>3.0</v>
      </c>
      <c r="N49" s="14">
        <v>4.0</v>
      </c>
      <c r="O49" s="14">
        <v>5.0</v>
      </c>
      <c r="P49" s="14">
        <v>6.0</v>
      </c>
      <c r="Q49" s="14">
        <v>7.0</v>
      </c>
      <c r="R49" s="14">
        <v>8.0</v>
      </c>
      <c r="S49" s="14">
        <v>9.0</v>
      </c>
      <c r="T49" s="14">
        <v>10.0</v>
      </c>
      <c r="U49" s="14">
        <v>11.0</v>
      </c>
      <c r="V49" s="14">
        <v>12.0</v>
      </c>
      <c r="W49" s="14">
        <v>13.0</v>
      </c>
      <c r="X49" s="14">
        <v>14.0</v>
      </c>
      <c r="Y49" s="14">
        <v>15.0</v>
      </c>
      <c r="Z49" s="14">
        <v>16.0</v>
      </c>
      <c r="AA49" s="14">
        <v>17.0</v>
      </c>
      <c r="AB49" s="14">
        <v>18.0</v>
      </c>
      <c r="AC49" s="14">
        <v>19.0</v>
      </c>
      <c r="AD49" s="14">
        <v>20.0</v>
      </c>
      <c r="AE49" s="14">
        <v>21.0</v>
      </c>
      <c r="AF49" s="14">
        <v>22.0</v>
      </c>
      <c r="AG49" s="14">
        <v>23.0</v>
      </c>
      <c r="AH49" s="14">
        <v>24.0</v>
      </c>
      <c r="AI49" s="14">
        <v>25.0</v>
      </c>
      <c r="AJ49" s="14">
        <v>26.0</v>
      </c>
      <c r="AK49" s="14">
        <v>27.0</v>
      </c>
      <c r="AL49" s="14">
        <v>28.0</v>
      </c>
      <c r="AM49" s="14">
        <v>29.0</v>
      </c>
      <c r="AN49" s="14">
        <v>30.0</v>
      </c>
      <c r="AO49" s="14">
        <v>31.0</v>
      </c>
    </row>
    <row r="50">
      <c r="A50" s="9">
        <v>49.0</v>
      </c>
      <c r="B50" s="20" t="s">
        <v>17</v>
      </c>
      <c r="C50" s="21">
        <v>1.0</v>
      </c>
      <c r="D50" s="12"/>
      <c r="E50" s="12"/>
      <c r="F50" s="12" t="str">
        <f t="shared" si="1"/>
        <v>Vacant</v>
      </c>
      <c r="G50" s="12"/>
      <c r="H50" s="13">
        <f t="shared" si="2"/>
        <v>0</v>
      </c>
      <c r="I50" s="12"/>
      <c r="J50" s="12"/>
      <c r="K50" s="12">
        <v>1.0</v>
      </c>
      <c r="L50" s="14">
        <v>2.0</v>
      </c>
      <c r="M50" s="14">
        <v>3.0</v>
      </c>
      <c r="N50" s="14">
        <v>4.0</v>
      </c>
      <c r="O50" s="14">
        <v>5.0</v>
      </c>
      <c r="P50" s="14">
        <v>6.0</v>
      </c>
      <c r="Q50" s="14">
        <v>7.0</v>
      </c>
      <c r="R50" s="14">
        <v>8.0</v>
      </c>
      <c r="S50" s="14">
        <v>9.0</v>
      </c>
      <c r="T50" s="14">
        <v>10.0</v>
      </c>
      <c r="U50" s="14">
        <v>11.0</v>
      </c>
      <c r="V50" s="14">
        <v>12.0</v>
      </c>
      <c r="W50" s="14">
        <v>13.0</v>
      </c>
      <c r="X50" s="14">
        <v>14.0</v>
      </c>
      <c r="Y50" s="14">
        <v>15.0</v>
      </c>
      <c r="Z50" s="14">
        <v>16.0</v>
      </c>
      <c r="AA50" s="14">
        <v>17.0</v>
      </c>
      <c r="AB50" s="14">
        <v>18.0</v>
      </c>
      <c r="AC50" s="14">
        <v>19.0</v>
      </c>
      <c r="AD50" s="14">
        <v>20.0</v>
      </c>
      <c r="AE50" s="14">
        <v>21.0</v>
      </c>
      <c r="AF50" s="14">
        <v>22.0</v>
      </c>
      <c r="AG50" s="14">
        <v>23.0</v>
      </c>
      <c r="AH50" s="14">
        <v>24.0</v>
      </c>
      <c r="AI50" s="14">
        <v>25.0</v>
      </c>
      <c r="AJ50" s="14">
        <v>26.0</v>
      </c>
      <c r="AK50" s="14">
        <v>27.0</v>
      </c>
      <c r="AL50" s="14">
        <v>28.0</v>
      </c>
      <c r="AM50" s="14">
        <v>29.0</v>
      </c>
      <c r="AN50" s="14">
        <v>30.0</v>
      </c>
      <c r="AO50" s="14">
        <v>31.0</v>
      </c>
    </row>
    <row r="51">
      <c r="A51" s="9">
        <v>50.0</v>
      </c>
      <c r="B51" s="15"/>
      <c r="C51" s="21">
        <v>2.0</v>
      </c>
      <c r="D51" s="12"/>
      <c r="E51" s="12"/>
      <c r="F51" s="12" t="str">
        <f t="shared" si="1"/>
        <v>Vacant</v>
      </c>
      <c r="G51" s="12"/>
      <c r="H51" s="13">
        <f t="shared" si="2"/>
        <v>0</v>
      </c>
      <c r="I51" s="12"/>
      <c r="J51" s="12"/>
      <c r="K51" s="12">
        <v>1.0</v>
      </c>
      <c r="L51" s="14">
        <v>2.0</v>
      </c>
      <c r="M51" s="14">
        <v>3.0</v>
      </c>
      <c r="N51" s="14">
        <v>4.0</v>
      </c>
      <c r="O51" s="14">
        <v>5.0</v>
      </c>
      <c r="P51" s="14">
        <v>6.0</v>
      </c>
      <c r="Q51" s="14">
        <v>7.0</v>
      </c>
      <c r="R51" s="14">
        <v>8.0</v>
      </c>
      <c r="S51" s="14">
        <v>9.0</v>
      </c>
      <c r="T51" s="14">
        <v>10.0</v>
      </c>
      <c r="U51" s="14">
        <v>11.0</v>
      </c>
      <c r="V51" s="14">
        <v>12.0</v>
      </c>
      <c r="W51" s="14">
        <v>13.0</v>
      </c>
      <c r="X51" s="14">
        <v>14.0</v>
      </c>
      <c r="Y51" s="14">
        <v>15.0</v>
      </c>
      <c r="Z51" s="14">
        <v>16.0</v>
      </c>
      <c r="AA51" s="14">
        <v>17.0</v>
      </c>
      <c r="AB51" s="14">
        <v>18.0</v>
      </c>
      <c r="AC51" s="14">
        <v>19.0</v>
      </c>
      <c r="AD51" s="14">
        <v>20.0</v>
      </c>
      <c r="AE51" s="14">
        <v>21.0</v>
      </c>
      <c r="AF51" s="14">
        <v>22.0</v>
      </c>
      <c r="AG51" s="14">
        <v>23.0</v>
      </c>
      <c r="AH51" s="14">
        <v>24.0</v>
      </c>
      <c r="AI51" s="14">
        <v>25.0</v>
      </c>
      <c r="AJ51" s="14">
        <v>26.0</v>
      </c>
      <c r="AK51" s="14">
        <v>27.0</v>
      </c>
      <c r="AL51" s="14">
        <v>28.0</v>
      </c>
      <c r="AM51" s="14">
        <v>29.0</v>
      </c>
      <c r="AN51" s="14">
        <v>30.0</v>
      </c>
      <c r="AO51" s="14">
        <v>31.0</v>
      </c>
    </row>
    <row r="52">
      <c r="A52" s="9">
        <v>51.0</v>
      </c>
      <c r="B52" s="15"/>
      <c r="C52" s="21">
        <v>3.0</v>
      </c>
      <c r="D52" s="12"/>
      <c r="E52" s="12"/>
      <c r="F52" s="12" t="str">
        <f t="shared" si="1"/>
        <v>Vacant</v>
      </c>
      <c r="G52" s="12"/>
      <c r="H52" s="13">
        <f t="shared" si="2"/>
        <v>0</v>
      </c>
      <c r="I52" s="12"/>
      <c r="J52" s="12"/>
      <c r="K52" s="12">
        <v>1.0</v>
      </c>
      <c r="L52" s="14">
        <v>2.0</v>
      </c>
      <c r="M52" s="14">
        <v>3.0</v>
      </c>
      <c r="N52" s="14">
        <v>4.0</v>
      </c>
      <c r="O52" s="14">
        <v>5.0</v>
      </c>
      <c r="P52" s="14">
        <v>6.0</v>
      </c>
      <c r="Q52" s="14">
        <v>7.0</v>
      </c>
      <c r="R52" s="14">
        <v>8.0</v>
      </c>
      <c r="S52" s="14">
        <v>9.0</v>
      </c>
      <c r="T52" s="14">
        <v>10.0</v>
      </c>
      <c r="U52" s="14">
        <v>11.0</v>
      </c>
      <c r="V52" s="14">
        <v>12.0</v>
      </c>
      <c r="W52" s="14">
        <v>13.0</v>
      </c>
      <c r="X52" s="14">
        <v>14.0</v>
      </c>
      <c r="Y52" s="14">
        <v>15.0</v>
      </c>
      <c r="Z52" s="14">
        <v>16.0</v>
      </c>
      <c r="AA52" s="14">
        <v>17.0</v>
      </c>
      <c r="AB52" s="14">
        <v>18.0</v>
      </c>
      <c r="AC52" s="14">
        <v>19.0</v>
      </c>
      <c r="AD52" s="14">
        <v>20.0</v>
      </c>
      <c r="AE52" s="14">
        <v>21.0</v>
      </c>
      <c r="AF52" s="14">
        <v>22.0</v>
      </c>
      <c r="AG52" s="14">
        <v>23.0</v>
      </c>
      <c r="AH52" s="14">
        <v>24.0</v>
      </c>
      <c r="AI52" s="14">
        <v>25.0</v>
      </c>
      <c r="AJ52" s="14">
        <v>26.0</v>
      </c>
      <c r="AK52" s="14">
        <v>27.0</v>
      </c>
      <c r="AL52" s="14">
        <v>28.0</v>
      </c>
      <c r="AM52" s="14">
        <v>29.0</v>
      </c>
      <c r="AN52" s="14">
        <v>30.0</v>
      </c>
      <c r="AO52" s="14">
        <v>31.0</v>
      </c>
    </row>
    <row r="53">
      <c r="A53" s="9">
        <v>52.0</v>
      </c>
      <c r="B53" s="15"/>
      <c r="C53" s="21">
        <v>4.0</v>
      </c>
      <c r="D53" s="12"/>
      <c r="E53" s="12"/>
      <c r="F53" s="12" t="str">
        <f t="shared" si="1"/>
        <v>Vacant</v>
      </c>
      <c r="G53" s="12"/>
      <c r="H53" s="13">
        <f t="shared" si="2"/>
        <v>0</v>
      </c>
      <c r="I53" s="12"/>
      <c r="J53" s="12"/>
      <c r="K53" s="12">
        <v>1.0</v>
      </c>
      <c r="L53" s="14">
        <v>2.0</v>
      </c>
      <c r="M53" s="14">
        <v>3.0</v>
      </c>
      <c r="N53" s="14">
        <v>4.0</v>
      </c>
      <c r="O53" s="14">
        <v>5.0</v>
      </c>
      <c r="P53" s="14">
        <v>6.0</v>
      </c>
      <c r="Q53" s="14">
        <v>7.0</v>
      </c>
      <c r="R53" s="14">
        <v>8.0</v>
      </c>
      <c r="S53" s="14">
        <v>9.0</v>
      </c>
      <c r="T53" s="14">
        <v>10.0</v>
      </c>
      <c r="U53" s="14">
        <v>11.0</v>
      </c>
      <c r="V53" s="14">
        <v>12.0</v>
      </c>
      <c r="W53" s="14">
        <v>13.0</v>
      </c>
      <c r="X53" s="14">
        <v>14.0</v>
      </c>
      <c r="Y53" s="14">
        <v>15.0</v>
      </c>
      <c r="Z53" s="14">
        <v>16.0</v>
      </c>
      <c r="AA53" s="14">
        <v>17.0</v>
      </c>
      <c r="AB53" s="14">
        <v>18.0</v>
      </c>
      <c r="AC53" s="14">
        <v>19.0</v>
      </c>
      <c r="AD53" s="14">
        <v>20.0</v>
      </c>
      <c r="AE53" s="14">
        <v>21.0</v>
      </c>
      <c r="AF53" s="14">
        <v>22.0</v>
      </c>
      <c r="AG53" s="14">
        <v>23.0</v>
      </c>
      <c r="AH53" s="14">
        <v>24.0</v>
      </c>
      <c r="AI53" s="14">
        <v>25.0</v>
      </c>
      <c r="AJ53" s="14">
        <v>26.0</v>
      </c>
      <c r="AK53" s="14">
        <v>27.0</v>
      </c>
      <c r="AL53" s="14">
        <v>28.0</v>
      </c>
      <c r="AM53" s="14">
        <v>29.0</v>
      </c>
      <c r="AN53" s="14">
        <v>30.0</v>
      </c>
      <c r="AO53" s="14">
        <v>31.0</v>
      </c>
    </row>
    <row r="54">
      <c r="A54" s="9">
        <v>53.0</v>
      </c>
      <c r="B54" s="15"/>
      <c r="C54" s="21">
        <v>5.0</v>
      </c>
      <c r="D54" s="12"/>
      <c r="E54" s="12"/>
      <c r="F54" s="12" t="str">
        <f t="shared" si="1"/>
        <v>Vacant</v>
      </c>
      <c r="G54" s="12"/>
      <c r="H54" s="13">
        <f t="shared" si="2"/>
        <v>0</v>
      </c>
      <c r="I54" s="12"/>
      <c r="J54" s="12"/>
      <c r="K54" s="12">
        <v>1.0</v>
      </c>
      <c r="L54" s="14">
        <v>2.0</v>
      </c>
      <c r="M54" s="14">
        <v>3.0</v>
      </c>
      <c r="N54" s="14">
        <v>4.0</v>
      </c>
      <c r="O54" s="14">
        <v>5.0</v>
      </c>
      <c r="P54" s="14">
        <v>6.0</v>
      </c>
      <c r="Q54" s="14">
        <v>7.0</v>
      </c>
      <c r="R54" s="14">
        <v>8.0</v>
      </c>
      <c r="S54" s="14">
        <v>9.0</v>
      </c>
      <c r="T54" s="14">
        <v>10.0</v>
      </c>
      <c r="U54" s="14">
        <v>11.0</v>
      </c>
      <c r="V54" s="14">
        <v>12.0</v>
      </c>
      <c r="W54" s="14">
        <v>13.0</v>
      </c>
      <c r="X54" s="14">
        <v>14.0</v>
      </c>
      <c r="Y54" s="14">
        <v>15.0</v>
      </c>
      <c r="Z54" s="14">
        <v>16.0</v>
      </c>
      <c r="AA54" s="14">
        <v>17.0</v>
      </c>
      <c r="AB54" s="14">
        <v>18.0</v>
      </c>
      <c r="AC54" s="14">
        <v>19.0</v>
      </c>
      <c r="AD54" s="14">
        <v>20.0</v>
      </c>
      <c r="AE54" s="14">
        <v>21.0</v>
      </c>
      <c r="AF54" s="14">
        <v>22.0</v>
      </c>
      <c r="AG54" s="14">
        <v>23.0</v>
      </c>
      <c r="AH54" s="14">
        <v>24.0</v>
      </c>
      <c r="AI54" s="14">
        <v>25.0</v>
      </c>
      <c r="AJ54" s="14">
        <v>26.0</v>
      </c>
      <c r="AK54" s="14">
        <v>27.0</v>
      </c>
      <c r="AL54" s="14">
        <v>28.0</v>
      </c>
      <c r="AM54" s="14">
        <v>29.0</v>
      </c>
      <c r="AN54" s="14">
        <v>30.0</v>
      </c>
      <c r="AO54" s="14">
        <v>31.0</v>
      </c>
    </row>
    <row r="55">
      <c r="A55" s="9">
        <v>54.0</v>
      </c>
      <c r="B55" s="15"/>
      <c r="C55" s="21">
        <v>6.0</v>
      </c>
      <c r="D55" s="12"/>
      <c r="E55" s="12"/>
      <c r="F55" s="12" t="str">
        <f t="shared" si="1"/>
        <v>Vacant</v>
      </c>
      <c r="G55" s="12"/>
      <c r="H55" s="13">
        <f t="shared" si="2"/>
        <v>0</v>
      </c>
      <c r="I55" s="12"/>
      <c r="J55" s="12"/>
      <c r="K55" s="12">
        <v>1.0</v>
      </c>
      <c r="L55" s="14">
        <v>2.0</v>
      </c>
      <c r="M55" s="14">
        <v>3.0</v>
      </c>
      <c r="N55" s="14">
        <v>4.0</v>
      </c>
      <c r="O55" s="14">
        <v>5.0</v>
      </c>
      <c r="P55" s="14">
        <v>6.0</v>
      </c>
      <c r="Q55" s="14">
        <v>7.0</v>
      </c>
      <c r="R55" s="14">
        <v>8.0</v>
      </c>
      <c r="S55" s="14">
        <v>9.0</v>
      </c>
      <c r="T55" s="14">
        <v>10.0</v>
      </c>
      <c r="U55" s="14">
        <v>11.0</v>
      </c>
      <c r="V55" s="14">
        <v>12.0</v>
      </c>
      <c r="W55" s="14">
        <v>13.0</v>
      </c>
      <c r="X55" s="14">
        <v>14.0</v>
      </c>
      <c r="Y55" s="14">
        <v>15.0</v>
      </c>
      <c r="Z55" s="14">
        <v>16.0</v>
      </c>
      <c r="AA55" s="14">
        <v>17.0</v>
      </c>
      <c r="AB55" s="14">
        <v>18.0</v>
      </c>
      <c r="AC55" s="14">
        <v>19.0</v>
      </c>
      <c r="AD55" s="14">
        <v>20.0</v>
      </c>
      <c r="AE55" s="14">
        <v>21.0</v>
      </c>
      <c r="AF55" s="14">
        <v>22.0</v>
      </c>
      <c r="AG55" s="14">
        <v>23.0</v>
      </c>
      <c r="AH55" s="14">
        <v>24.0</v>
      </c>
      <c r="AI55" s="14">
        <v>25.0</v>
      </c>
      <c r="AJ55" s="14">
        <v>26.0</v>
      </c>
      <c r="AK55" s="14">
        <v>27.0</v>
      </c>
      <c r="AL55" s="14">
        <v>28.0</v>
      </c>
      <c r="AM55" s="14">
        <v>29.0</v>
      </c>
      <c r="AN55" s="14">
        <v>30.0</v>
      </c>
      <c r="AO55" s="14">
        <v>31.0</v>
      </c>
    </row>
    <row r="56">
      <c r="A56" s="9">
        <v>55.0</v>
      </c>
      <c r="B56" s="17"/>
      <c r="C56" s="21">
        <v>7.0</v>
      </c>
      <c r="D56" s="12"/>
      <c r="E56" s="12"/>
      <c r="F56" s="12" t="str">
        <f t="shared" si="1"/>
        <v>Vacant</v>
      </c>
      <c r="G56" s="12"/>
      <c r="H56" s="13">
        <f t="shared" si="2"/>
        <v>0</v>
      </c>
      <c r="I56" s="12"/>
      <c r="J56" s="12"/>
      <c r="K56" s="12">
        <v>1.0</v>
      </c>
      <c r="L56" s="14">
        <v>2.0</v>
      </c>
      <c r="M56" s="14">
        <v>3.0</v>
      </c>
      <c r="N56" s="14">
        <v>4.0</v>
      </c>
      <c r="O56" s="14">
        <v>5.0</v>
      </c>
      <c r="P56" s="14">
        <v>6.0</v>
      </c>
      <c r="Q56" s="14">
        <v>7.0</v>
      </c>
      <c r="R56" s="14">
        <v>8.0</v>
      </c>
      <c r="S56" s="14">
        <v>9.0</v>
      </c>
      <c r="T56" s="14">
        <v>10.0</v>
      </c>
      <c r="U56" s="14">
        <v>11.0</v>
      </c>
      <c r="V56" s="14">
        <v>12.0</v>
      </c>
      <c r="W56" s="14">
        <v>13.0</v>
      </c>
      <c r="X56" s="14">
        <v>14.0</v>
      </c>
      <c r="Y56" s="14">
        <v>15.0</v>
      </c>
      <c r="Z56" s="14">
        <v>16.0</v>
      </c>
      <c r="AA56" s="14">
        <v>17.0</v>
      </c>
      <c r="AB56" s="14">
        <v>18.0</v>
      </c>
      <c r="AC56" s="14">
        <v>19.0</v>
      </c>
      <c r="AD56" s="14">
        <v>20.0</v>
      </c>
      <c r="AE56" s="14">
        <v>21.0</v>
      </c>
      <c r="AF56" s="14">
        <v>22.0</v>
      </c>
      <c r="AG56" s="14">
        <v>23.0</v>
      </c>
      <c r="AH56" s="14">
        <v>24.0</v>
      </c>
      <c r="AI56" s="14">
        <v>25.0</v>
      </c>
      <c r="AJ56" s="14">
        <v>26.0</v>
      </c>
      <c r="AK56" s="14">
        <v>27.0</v>
      </c>
      <c r="AL56" s="14">
        <v>28.0</v>
      </c>
      <c r="AM56" s="14">
        <v>29.0</v>
      </c>
      <c r="AN56" s="14">
        <v>30.0</v>
      </c>
      <c r="AO56" s="14">
        <v>31.0</v>
      </c>
    </row>
    <row r="57">
      <c r="A57" s="9">
        <v>56.0</v>
      </c>
      <c r="B57" s="20" t="s">
        <v>18</v>
      </c>
      <c r="C57" s="21">
        <v>1.0</v>
      </c>
      <c r="D57" s="12"/>
      <c r="E57" s="12"/>
      <c r="F57" s="12" t="str">
        <f t="shared" si="1"/>
        <v>Vacant</v>
      </c>
      <c r="G57" s="12"/>
      <c r="H57" s="13">
        <f t="shared" si="2"/>
        <v>0</v>
      </c>
      <c r="I57" s="12"/>
      <c r="J57" s="12"/>
      <c r="K57" s="12">
        <v>1.0</v>
      </c>
      <c r="L57" s="14">
        <v>2.0</v>
      </c>
      <c r="M57" s="14">
        <v>3.0</v>
      </c>
      <c r="N57" s="14">
        <v>4.0</v>
      </c>
      <c r="O57" s="14">
        <v>5.0</v>
      </c>
      <c r="P57" s="14">
        <v>6.0</v>
      </c>
      <c r="Q57" s="14">
        <v>7.0</v>
      </c>
      <c r="R57" s="14">
        <v>8.0</v>
      </c>
      <c r="S57" s="14">
        <v>9.0</v>
      </c>
      <c r="T57" s="14">
        <v>10.0</v>
      </c>
      <c r="U57" s="14">
        <v>11.0</v>
      </c>
      <c r="V57" s="14">
        <v>12.0</v>
      </c>
      <c r="W57" s="14">
        <v>13.0</v>
      </c>
      <c r="X57" s="14">
        <v>14.0</v>
      </c>
      <c r="Y57" s="14">
        <v>15.0</v>
      </c>
      <c r="Z57" s="14">
        <v>16.0</v>
      </c>
      <c r="AA57" s="14">
        <v>17.0</v>
      </c>
      <c r="AB57" s="14">
        <v>18.0</v>
      </c>
      <c r="AC57" s="14">
        <v>19.0</v>
      </c>
      <c r="AD57" s="14">
        <v>20.0</v>
      </c>
      <c r="AE57" s="14">
        <v>21.0</v>
      </c>
      <c r="AF57" s="14">
        <v>22.0</v>
      </c>
      <c r="AG57" s="14">
        <v>23.0</v>
      </c>
      <c r="AH57" s="14">
        <v>24.0</v>
      </c>
      <c r="AI57" s="14">
        <v>25.0</v>
      </c>
      <c r="AJ57" s="14">
        <v>26.0</v>
      </c>
      <c r="AK57" s="14">
        <v>27.0</v>
      </c>
      <c r="AL57" s="14">
        <v>28.0</v>
      </c>
      <c r="AM57" s="14">
        <v>29.0</v>
      </c>
      <c r="AN57" s="14">
        <v>30.0</v>
      </c>
      <c r="AO57" s="14">
        <v>31.0</v>
      </c>
    </row>
    <row r="58">
      <c r="A58" s="9">
        <v>57.0</v>
      </c>
      <c r="B58" s="15"/>
      <c r="C58" s="21">
        <v>2.0</v>
      </c>
      <c r="D58" s="12"/>
      <c r="E58" s="12"/>
      <c r="F58" s="12" t="str">
        <f t="shared" si="1"/>
        <v>Vacant</v>
      </c>
      <c r="G58" s="12"/>
      <c r="H58" s="13">
        <f t="shared" si="2"/>
        <v>0</v>
      </c>
      <c r="I58" s="12"/>
      <c r="J58" s="12"/>
      <c r="K58" s="12">
        <v>1.0</v>
      </c>
      <c r="L58" s="14">
        <v>2.0</v>
      </c>
      <c r="M58" s="14">
        <v>3.0</v>
      </c>
      <c r="N58" s="14">
        <v>4.0</v>
      </c>
      <c r="O58" s="14">
        <v>5.0</v>
      </c>
      <c r="P58" s="14">
        <v>6.0</v>
      </c>
      <c r="Q58" s="14">
        <v>7.0</v>
      </c>
      <c r="R58" s="14">
        <v>8.0</v>
      </c>
      <c r="S58" s="14">
        <v>9.0</v>
      </c>
      <c r="T58" s="14">
        <v>10.0</v>
      </c>
      <c r="U58" s="14">
        <v>11.0</v>
      </c>
      <c r="V58" s="14">
        <v>12.0</v>
      </c>
      <c r="W58" s="14">
        <v>13.0</v>
      </c>
      <c r="X58" s="14">
        <v>14.0</v>
      </c>
      <c r="Y58" s="14">
        <v>15.0</v>
      </c>
      <c r="Z58" s="14">
        <v>16.0</v>
      </c>
      <c r="AA58" s="14">
        <v>17.0</v>
      </c>
      <c r="AB58" s="14">
        <v>18.0</v>
      </c>
      <c r="AC58" s="14">
        <v>19.0</v>
      </c>
      <c r="AD58" s="14">
        <v>20.0</v>
      </c>
      <c r="AE58" s="14">
        <v>21.0</v>
      </c>
      <c r="AF58" s="14">
        <v>22.0</v>
      </c>
      <c r="AG58" s="14">
        <v>23.0</v>
      </c>
      <c r="AH58" s="14">
        <v>24.0</v>
      </c>
      <c r="AI58" s="14">
        <v>25.0</v>
      </c>
      <c r="AJ58" s="14">
        <v>26.0</v>
      </c>
      <c r="AK58" s="14">
        <v>27.0</v>
      </c>
      <c r="AL58" s="14">
        <v>28.0</v>
      </c>
      <c r="AM58" s="14">
        <v>29.0</v>
      </c>
      <c r="AN58" s="14">
        <v>30.0</v>
      </c>
      <c r="AO58" s="14">
        <v>31.0</v>
      </c>
    </row>
    <row r="59">
      <c r="A59" s="9">
        <v>58.0</v>
      </c>
      <c r="B59" s="15"/>
      <c r="C59" s="21">
        <v>3.0</v>
      </c>
      <c r="D59" s="12"/>
      <c r="E59" s="12"/>
      <c r="F59" s="12" t="str">
        <f t="shared" si="1"/>
        <v>Vacant</v>
      </c>
      <c r="G59" s="12"/>
      <c r="H59" s="13">
        <f t="shared" si="2"/>
        <v>0</v>
      </c>
      <c r="I59" s="12"/>
      <c r="J59" s="12"/>
      <c r="K59" s="12">
        <v>1.0</v>
      </c>
      <c r="L59" s="14">
        <v>2.0</v>
      </c>
      <c r="M59" s="14">
        <v>3.0</v>
      </c>
      <c r="N59" s="14">
        <v>4.0</v>
      </c>
      <c r="O59" s="14">
        <v>5.0</v>
      </c>
      <c r="P59" s="14">
        <v>6.0</v>
      </c>
      <c r="Q59" s="14">
        <v>7.0</v>
      </c>
      <c r="R59" s="14">
        <v>8.0</v>
      </c>
      <c r="S59" s="14">
        <v>9.0</v>
      </c>
      <c r="T59" s="14">
        <v>10.0</v>
      </c>
      <c r="U59" s="14">
        <v>11.0</v>
      </c>
      <c r="V59" s="14">
        <v>12.0</v>
      </c>
      <c r="W59" s="14">
        <v>13.0</v>
      </c>
      <c r="X59" s="14">
        <v>14.0</v>
      </c>
      <c r="Y59" s="14">
        <v>15.0</v>
      </c>
      <c r="Z59" s="14">
        <v>16.0</v>
      </c>
      <c r="AA59" s="14">
        <v>17.0</v>
      </c>
      <c r="AB59" s="14">
        <v>18.0</v>
      </c>
      <c r="AC59" s="14">
        <v>19.0</v>
      </c>
      <c r="AD59" s="14">
        <v>20.0</v>
      </c>
      <c r="AE59" s="14">
        <v>21.0</v>
      </c>
      <c r="AF59" s="14">
        <v>22.0</v>
      </c>
      <c r="AG59" s="14">
        <v>23.0</v>
      </c>
      <c r="AH59" s="14">
        <v>24.0</v>
      </c>
      <c r="AI59" s="14">
        <v>25.0</v>
      </c>
      <c r="AJ59" s="14">
        <v>26.0</v>
      </c>
      <c r="AK59" s="14">
        <v>27.0</v>
      </c>
      <c r="AL59" s="14">
        <v>28.0</v>
      </c>
      <c r="AM59" s="14">
        <v>29.0</v>
      </c>
      <c r="AN59" s="14">
        <v>30.0</v>
      </c>
      <c r="AO59" s="14">
        <v>31.0</v>
      </c>
    </row>
    <row r="60">
      <c r="A60" s="9">
        <v>59.0</v>
      </c>
      <c r="B60" s="15"/>
      <c r="C60" s="21">
        <v>4.0</v>
      </c>
      <c r="D60" s="12"/>
      <c r="E60" s="12"/>
      <c r="F60" s="12" t="str">
        <f t="shared" si="1"/>
        <v>Vacant</v>
      </c>
      <c r="G60" s="12"/>
      <c r="H60" s="13">
        <f t="shared" si="2"/>
        <v>0</v>
      </c>
      <c r="I60" s="12"/>
      <c r="J60" s="12"/>
      <c r="K60" s="12">
        <v>1.0</v>
      </c>
      <c r="L60" s="14">
        <v>2.0</v>
      </c>
      <c r="M60" s="14">
        <v>3.0</v>
      </c>
      <c r="N60" s="14">
        <v>4.0</v>
      </c>
      <c r="O60" s="14">
        <v>5.0</v>
      </c>
      <c r="P60" s="14">
        <v>6.0</v>
      </c>
      <c r="Q60" s="14">
        <v>7.0</v>
      </c>
      <c r="R60" s="14">
        <v>8.0</v>
      </c>
      <c r="S60" s="14">
        <v>9.0</v>
      </c>
      <c r="T60" s="14">
        <v>10.0</v>
      </c>
      <c r="U60" s="14">
        <v>11.0</v>
      </c>
      <c r="V60" s="14">
        <v>12.0</v>
      </c>
      <c r="W60" s="14">
        <v>13.0</v>
      </c>
      <c r="X60" s="14">
        <v>14.0</v>
      </c>
      <c r="Y60" s="14">
        <v>15.0</v>
      </c>
      <c r="Z60" s="14">
        <v>16.0</v>
      </c>
      <c r="AA60" s="14">
        <v>17.0</v>
      </c>
      <c r="AB60" s="14">
        <v>18.0</v>
      </c>
      <c r="AC60" s="14">
        <v>19.0</v>
      </c>
      <c r="AD60" s="14">
        <v>20.0</v>
      </c>
      <c r="AE60" s="14">
        <v>21.0</v>
      </c>
      <c r="AF60" s="14">
        <v>22.0</v>
      </c>
      <c r="AG60" s="14">
        <v>23.0</v>
      </c>
      <c r="AH60" s="14">
        <v>24.0</v>
      </c>
      <c r="AI60" s="14">
        <v>25.0</v>
      </c>
      <c r="AJ60" s="14">
        <v>26.0</v>
      </c>
      <c r="AK60" s="14">
        <v>27.0</v>
      </c>
      <c r="AL60" s="14">
        <v>28.0</v>
      </c>
      <c r="AM60" s="14">
        <v>29.0</v>
      </c>
      <c r="AN60" s="14">
        <v>30.0</v>
      </c>
      <c r="AO60" s="14">
        <v>31.0</v>
      </c>
    </row>
    <row r="61">
      <c r="A61" s="9">
        <v>60.0</v>
      </c>
      <c r="B61" s="15"/>
      <c r="C61" s="21">
        <v>5.0</v>
      </c>
      <c r="D61" s="12"/>
      <c r="E61" s="12"/>
      <c r="F61" s="12" t="str">
        <f t="shared" si="1"/>
        <v>Vacant</v>
      </c>
      <c r="G61" s="12"/>
      <c r="H61" s="13">
        <f t="shared" si="2"/>
        <v>0</v>
      </c>
      <c r="I61" s="12"/>
      <c r="J61" s="12"/>
      <c r="K61" s="12">
        <v>1.0</v>
      </c>
      <c r="L61" s="14">
        <v>2.0</v>
      </c>
      <c r="M61" s="14">
        <v>3.0</v>
      </c>
      <c r="N61" s="14">
        <v>4.0</v>
      </c>
      <c r="O61" s="14">
        <v>5.0</v>
      </c>
      <c r="P61" s="14">
        <v>6.0</v>
      </c>
      <c r="Q61" s="14">
        <v>7.0</v>
      </c>
      <c r="R61" s="14">
        <v>8.0</v>
      </c>
      <c r="S61" s="14">
        <v>9.0</v>
      </c>
      <c r="T61" s="14">
        <v>10.0</v>
      </c>
      <c r="U61" s="14">
        <v>11.0</v>
      </c>
      <c r="V61" s="14">
        <v>12.0</v>
      </c>
      <c r="W61" s="14">
        <v>13.0</v>
      </c>
      <c r="X61" s="14">
        <v>14.0</v>
      </c>
      <c r="Y61" s="14">
        <v>15.0</v>
      </c>
      <c r="Z61" s="14">
        <v>16.0</v>
      </c>
      <c r="AA61" s="14">
        <v>17.0</v>
      </c>
      <c r="AB61" s="14">
        <v>18.0</v>
      </c>
      <c r="AC61" s="14">
        <v>19.0</v>
      </c>
      <c r="AD61" s="14">
        <v>20.0</v>
      </c>
      <c r="AE61" s="14">
        <v>21.0</v>
      </c>
      <c r="AF61" s="14">
        <v>22.0</v>
      </c>
      <c r="AG61" s="14">
        <v>23.0</v>
      </c>
      <c r="AH61" s="14">
        <v>24.0</v>
      </c>
      <c r="AI61" s="14">
        <v>25.0</v>
      </c>
      <c r="AJ61" s="14">
        <v>26.0</v>
      </c>
      <c r="AK61" s="14">
        <v>27.0</v>
      </c>
      <c r="AL61" s="14">
        <v>28.0</v>
      </c>
      <c r="AM61" s="14">
        <v>29.0</v>
      </c>
      <c r="AN61" s="14">
        <v>30.0</v>
      </c>
      <c r="AO61" s="14">
        <v>31.0</v>
      </c>
    </row>
    <row r="62">
      <c r="A62" s="9">
        <v>61.0</v>
      </c>
      <c r="B62" s="17"/>
      <c r="C62" s="21">
        <v>6.0</v>
      </c>
      <c r="D62" s="12"/>
      <c r="E62" s="12"/>
      <c r="F62" s="12" t="str">
        <f t="shared" si="1"/>
        <v>Vacant</v>
      </c>
      <c r="G62" s="12"/>
      <c r="H62" s="13">
        <f t="shared" si="2"/>
        <v>0</v>
      </c>
      <c r="I62" s="12"/>
      <c r="J62" s="12"/>
      <c r="K62" s="12">
        <v>1.0</v>
      </c>
      <c r="L62" s="14">
        <v>2.0</v>
      </c>
      <c r="M62" s="14">
        <v>3.0</v>
      </c>
      <c r="N62" s="14">
        <v>4.0</v>
      </c>
      <c r="O62" s="14">
        <v>5.0</v>
      </c>
      <c r="P62" s="14">
        <v>6.0</v>
      </c>
      <c r="Q62" s="14">
        <v>7.0</v>
      </c>
      <c r="R62" s="14">
        <v>8.0</v>
      </c>
      <c r="S62" s="14">
        <v>9.0</v>
      </c>
      <c r="T62" s="14">
        <v>10.0</v>
      </c>
      <c r="U62" s="14">
        <v>11.0</v>
      </c>
      <c r="V62" s="14">
        <v>12.0</v>
      </c>
      <c r="W62" s="14">
        <v>13.0</v>
      </c>
      <c r="X62" s="14">
        <v>14.0</v>
      </c>
      <c r="Y62" s="14">
        <v>15.0</v>
      </c>
      <c r="Z62" s="14">
        <v>16.0</v>
      </c>
      <c r="AA62" s="14">
        <v>17.0</v>
      </c>
      <c r="AB62" s="14">
        <v>18.0</v>
      </c>
      <c r="AC62" s="14">
        <v>19.0</v>
      </c>
      <c r="AD62" s="14">
        <v>20.0</v>
      </c>
      <c r="AE62" s="14">
        <v>21.0</v>
      </c>
      <c r="AF62" s="14">
        <v>22.0</v>
      </c>
      <c r="AG62" s="14">
        <v>23.0</v>
      </c>
      <c r="AH62" s="14">
        <v>24.0</v>
      </c>
      <c r="AI62" s="14">
        <v>25.0</v>
      </c>
      <c r="AJ62" s="14">
        <v>26.0</v>
      </c>
      <c r="AK62" s="14">
        <v>27.0</v>
      </c>
      <c r="AL62" s="14">
        <v>28.0</v>
      </c>
      <c r="AM62" s="14">
        <v>29.0</v>
      </c>
      <c r="AN62" s="14">
        <v>30.0</v>
      </c>
      <c r="AO62" s="14">
        <v>31.0</v>
      </c>
    </row>
    <row r="63">
      <c r="A63" s="9">
        <v>62.0</v>
      </c>
      <c r="B63" s="18" t="s">
        <v>19</v>
      </c>
      <c r="C63" s="19">
        <v>1.0</v>
      </c>
      <c r="D63" s="12"/>
      <c r="E63" s="12"/>
      <c r="F63" s="12" t="str">
        <f t="shared" si="1"/>
        <v>Vacant</v>
      </c>
      <c r="G63" s="12"/>
      <c r="H63" s="13">
        <f t="shared" si="2"/>
        <v>0</v>
      </c>
      <c r="I63" s="12"/>
      <c r="J63" s="12"/>
      <c r="K63" s="12">
        <v>1.0</v>
      </c>
      <c r="L63" s="14">
        <v>2.0</v>
      </c>
      <c r="M63" s="14">
        <v>3.0</v>
      </c>
      <c r="N63" s="14">
        <v>4.0</v>
      </c>
      <c r="O63" s="14">
        <v>5.0</v>
      </c>
      <c r="P63" s="14">
        <v>6.0</v>
      </c>
      <c r="Q63" s="14">
        <v>7.0</v>
      </c>
      <c r="R63" s="14">
        <v>8.0</v>
      </c>
      <c r="S63" s="14">
        <v>9.0</v>
      </c>
      <c r="T63" s="14">
        <v>10.0</v>
      </c>
      <c r="U63" s="14">
        <v>11.0</v>
      </c>
      <c r="V63" s="14">
        <v>12.0</v>
      </c>
      <c r="W63" s="14">
        <v>13.0</v>
      </c>
      <c r="X63" s="14">
        <v>14.0</v>
      </c>
      <c r="Y63" s="14">
        <v>15.0</v>
      </c>
      <c r="Z63" s="14">
        <v>16.0</v>
      </c>
      <c r="AA63" s="14">
        <v>17.0</v>
      </c>
      <c r="AB63" s="14">
        <v>18.0</v>
      </c>
      <c r="AC63" s="14">
        <v>19.0</v>
      </c>
      <c r="AD63" s="14">
        <v>20.0</v>
      </c>
      <c r="AE63" s="14">
        <v>21.0</v>
      </c>
      <c r="AF63" s="14">
        <v>22.0</v>
      </c>
      <c r="AG63" s="14">
        <v>23.0</v>
      </c>
      <c r="AH63" s="14">
        <v>24.0</v>
      </c>
      <c r="AI63" s="14">
        <v>25.0</v>
      </c>
      <c r="AJ63" s="14">
        <v>26.0</v>
      </c>
      <c r="AK63" s="14">
        <v>27.0</v>
      </c>
      <c r="AL63" s="14">
        <v>28.0</v>
      </c>
      <c r="AM63" s="14">
        <v>29.0</v>
      </c>
      <c r="AN63" s="14">
        <v>30.0</v>
      </c>
      <c r="AO63" s="14">
        <v>31.0</v>
      </c>
    </row>
    <row r="64">
      <c r="A64" s="9">
        <v>63.0</v>
      </c>
      <c r="B64" s="15"/>
      <c r="C64" s="19">
        <v>2.0</v>
      </c>
      <c r="D64" s="12"/>
      <c r="E64" s="12"/>
      <c r="F64" s="12" t="str">
        <f t="shared" si="1"/>
        <v>Vacant</v>
      </c>
      <c r="G64" s="12"/>
      <c r="H64" s="13">
        <f t="shared" si="2"/>
        <v>0</v>
      </c>
      <c r="I64" s="12"/>
      <c r="J64" s="12"/>
      <c r="K64" s="12">
        <v>1.0</v>
      </c>
      <c r="L64" s="14">
        <v>2.0</v>
      </c>
      <c r="M64" s="14">
        <v>3.0</v>
      </c>
      <c r="N64" s="14">
        <v>4.0</v>
      </c>
      <c r="O64" s="14">
        <v>5.0</v>
      </c>
      <c r="P64" s="14">
        <v>6.0</v>
      </c>
      <c r="Q64" s="14">
        <v>7.0</v>
      </c>
      <c r="R64" s="14">
        <v>8.0</v>
      </c>
      <c r="S64" s="14">
        <v>9.0</v>
      </c>
      <c r="T64" s="14">
        <v>10.0</v>
      </c>
      <c r="U64" s="14">
        <v>11.0</v>
      </c>
      <c r="V64" s="14">
        <v>12.0</v>
      </c>
      <c r="W64" s="14">
        <v>13.0</v>
      </c>
      <c r="X64" s="14">
        <v>14.0</v>
      </c>
      <c r="Y64" s="14">
        <v>15.0</v>
      </c>
      <c r="Z64" s="14">
        <v>16.0</v>
      </c>
      <c r="AA64" s="14">
        <v>17.0</v>
      </c>
      <c r="AB64" s="14">
        <v>18.0</v>
      </c>
      <c r="AC64" s="14">
        <v>19.0</v>
      </c>
      <c r="AD64" s="14">
        <v>20.0</v>
      </c>
      <c r="AE64" s="14">
        <v>21.0</v>
      </c>
      <c r="AF64" s="14">
        <v>22.0</v>
      </c>
      <c r="AG64" s="14">
        <v>23.0</v>
      </c>
      <c r="AH64" s="14">
        <v>24.0</v>
      </c>
      <c r="AI64" s="14">
        <v>25.0</v>
      </c>
      <c r="AJ64" s="14">
        <v>26.0</v>
      </c>
      <c r="AK64" s="14">
        <v>27.0</v>
      </c>
      <c r="AL64" s="14">
        <v>28.0</v>
      </c>
      <c r="AM64" s="14">
        <v>29.0</v>
      </c>
      <c r="AN64" s="14">
        <v>30.0</v>
      </c>
      <c r="AO64" s="14">
        <v>31.0</v>
      </c>
    </row>
    <row r="65">
      <c r="A65" s="9">
        <v>64.0</v>
      </c>
      <c r="B65" s="15"/>
      <c r="C65" s="19">
        <v>3.0</v>
      </c>
      <c r="D65" s="12"/>
      <c r="E65" s="12"/>
      <c r="F65" s="12" t="str">
        <f t="shared" si="1"/>
        <v>Vacant</v>
      </c>
      <c r="G65" s="12"/>
      <c r="H65" s="13">
        <f t="shared" si="2"/>
        <v>0</v>
      </c>
      <c r="I65" s="12"/>
      <c r="J65" s="12"/>
      <c r="K65" s="12">
        <v>1.0</v>
      </c>
      <c r="L65" s="14">
        <v>2.0</v>
      </c>
      <c r="M65" s="14">
        <v>3.0</v>
      </c>
      <c r="N65" s="14">
        <v>4.0</v>
      </c>
      <c r="O65" s="14">
        <v>5.0</v>
      </c>
      <c r="P65" s="14">
        <v>6.0</v>
      </c>
      <c r="Q65" s="14">
        <v>7.0</v>
      </c>
      <c r="R65" s="14">
        <v>8.0</v>
      </c>
      <c r="S65" s="14">
        <v>9.0</v>
      </c>
      <c r="T65" s="14">
        <v>10.0</v>
      </c>
      <c r="U65" s="14">
        <v>11.0</v>
      </c>
      <c r="V65" s="14">
        <v>12.0</v>
      </c>
      <c r="W65" s="14">
        <v>13.0</v>
      </c>
      <c r="X65" s="14">
        <v>14.0</v>
      </c>
      <c r="Y65" s="14">
        <v>15.0</v>
      </c>
      <c r="Z65" s="14">
        <v>16.0</v>
      </c>
      <c r="AA65" s="14">
        <v>17.0</v>
      </c>
      <c r="AB65" s="14">
        <v>18.0</v>
      </c>
      <c r="AC65" s="14">
        <v>19.0</v>
      </c>
      <c r="AD65" s="14">
        <v>20.0</v>
      </c>
      <c r="AE65" s="14">
        <v>21.0</v>
      </c>
      <c r="AF65" s="14">
        <v>22.0</v>
      </c>
      <c r="AG65" s="14">
        <v>23.0</v>
      </c>
      <c r="AH65" s="14">
        <v>24.0</v>
      </c>
      <c r="AI65" s="14">
        <v>25.0</v>
      </c>
      <c r="AJ65" s="14">
        <v>26.0</v>
      </c>
      <c r="AK65" s="14">
        <v>27.0</v>
      </c>
      <c r="AL65" s="14">
        <v>28.0</v>
      </c>
      <c r="AM65" s="14">
        <v>29.0</v>
      </c>
      <c r="AN65" s="14">
        <v>30.0</v>
      </c>
      <c r="AO65" s="14">
        <v>31.0</v>
      </c>
    </row>
    <row r="66">
      <c r="A66" s="9">
        <v>65.0</v>
      </c>
      <c r="B66" s="15"/>
      <c r="C66" s="19">
        <v>4.0</v>
      </c>
      <c r="D66" s="12"/>
      <c r="E66" s="12"/>
      <c r="F66" s="12" t="str">
        <f t="shared" si="1"/>
        <v>Vacant</v>
      </c>
      <c r="G66" s="12"/>
      <c r="H66" s="13">
        <f t="shared" si="2"/>
        <v>0</v>
      </c>
      <c r="I66" s="12"/>
      <c r="J66" s="12"/>
      <c r="K66" s="12">
        <v>1.0</v>
      </c>
      <c r="L66" s="14">
        <v>2.0</v>
      </c>
      <c r="M66" s="14">
        <v>3.0</v>
      </c>
      <c r="N66" s="14">
        <v>4.0</v>
      </c>
      <c r="O66" s="14">
        <v>5.0</v>
      </c>
      <c r="P66" s="14">
        <v>6.0</v>
      </c>
      <c r="Q66" s="14">
        <v>7.0</v>
      </c>
      <c r="R66" s="14">
        <v>8.0</v>
      </c>
      <c r="S66" s="14">
        <v>9.0</v>
      </c>
      <c r="T66" s="14">
        <v>10.0</v>
      </c>
      <c r="U66" s="14">
        <v>11.0</v>
      </c>
      <c r="V66" s="14">
        <v>12.0</v>
      </c>
      <c r="W66" s="14">
        <v>13.0</v>
      </c>
      <c r="X66" s="14">
        <v>14.0</v>
      </c>
      <c r="Y66" s="14">
        <v>15.0</v>
      </c>
      <c r="Z66" s="14">
        <v>16.0</v>
      </c>
      <c r="AA66" s="14">
        <v>17.0</v>
      </c>
      <c r="AB66" s="14">
        <v>18.0</v>
      </c>
      <c r="AC66" s="14">
        <v>19.0</v>
      </c>
      <c r="AD66" s="14">
        <v>20.0</v>
      </c>
      <c r="AE66" s="14">
        <v>21.0</v>
      </c>
      <c r="AF66" s="14">
        <v>22.0</v>
      </c>
      <c r="AG66" s="14">
        <v>23.0</v>
      </c>
      <c r="AH66" s="14">
        <v>24.0</v>
      </c>
      <c r="AI66" s="14">
        <v>25.0</v>
      </c>
      <c r="AJ66" s="14">
        <v>26.0</v>
      </c>
      <c r="AK66" s="14">
        <v>27.0</v>
      </c>
      <c r="AL66" s="14">
        <v>28.0</v>
      </c>
      <c r="AM66" s="14">
        <v>29.0</v>
      </c>
      <c r="AN66" s="14">
        <v>30.0</v>
      </c>
      <c r="AO66" s="14">
        <v>31.0</v>
      </c>
    </row>
    <row r="67">
      <c r="A67" s="9">
        <v>66.0</v>
      </c>
      <c r="B67" s="15"/>
      <c r="C67" s="19">
        <v>5.0</v>
      </c>
      <c r="D67" s="12"/>
      <c r="E67" s="12"/>
      <c r="F67" s="12" t="str">
        <f t="shared" si="1"/>
        <v>Vacant</v>
      </c>
      <c r="G67" s="12"/>
      <c r="H67" s="13">
        <f t="shared" si="2"/>
        <v>0</v>
      </c>
      <c r="I67" s="12"/>
      <c r="J67" s="12"/>
      <c r="K67" s="12">
        <v>1.0</v>
      </c>
      <c r="L67" s="14">
        <v>2.0</v>
      </c>
      <c r="M67" s="14">
        <v>3.0</v>
      </c>
      <c r="N67" s="14">
        <v>4.0</v>
      </c>
      <c r="O67" s="14">
        <v>5.0</v>
      </c>
      <c r="P67" s="14">
        <v>6.0</v>
      </c>
      <c r="Q67" s="14">
        <v>7.0</v>
      </c>
      <c r="R67" s="14">
        <v>8.0</v>
      </c>
      <c r="S67" s="14">
        <v>9.0</v>
      </c>
      <c r="T67" s="14">
        <v>10.0</v>
      </c>
      <c r="U67" s="14">
        <v>11.0</v>
      </c>
      <c r="V67" s="14">
        <v>12.0</v>
      </c>
      <c r="W67" s="14">
        <v>13.0</v>
      </c>
      <c r="X67" s="14">
        <v>14.0</v>
      </c>
      <c r="Y67" s="14">
        <v>15.0</v>
      </c>
      <c r="Z67" s="14">
        <v>16.0</v>
      </c>
      <c r="AA67" s="14">
        <v>17.0</v>
      </c>
      <c r="AB67" s="14">
        <v>18.0</v>
      </c>
      <c r="AC67" s="14">
        <v>19.0</v>
      </c>
      <c r="AD67" s="14">
        <v>20.0</v>
      </c>
      <c r="AE67" s="14">
        <v>21.0</v>
      </c>
      <c r="AF67" s="14">
        <v>22.0</v>
      </c>
      <c r="AG67" s="14">
        <v>23.0</v>
      </c>
      <c r="AH67" s="14">
        <v>24.0</v>
      </c>
      <c r="AI67" s="14">
        <v>25.0</v>
      </c>
      <c r="AJ67" s="14">
        <v>26.0</v>
      </c>
      <c r="AK67" s="14">
        <v>27.0</v>
      </c>
      <c r="AL67" s="14">
        <v>28.0</v>
      </c>
      <c r="AM67" s="14">
        <v>29.0</v>
      </c>
      <c r="AN67" s="14">
        <v>30.0</v>
      </c>
      <c r="AO67" s="14">
        <v>31.0</v>
      </c>
    </row>
    <row r="68">
      <c r="A68" s="9">
        <v>67.0</v>
      </c>
      <c r="B68" s="15"/>
      <c r="C68" s="19">
        <v>6.0</v>
      </c>
      <c r="D68" s="12"/>
      <c r="E68" s="12"/>
      <c r="F68" s="12" t="str">
        <f t="shared" si="1"/>
        <v>Vacant</v>
      </c>
      <c r="G68" s="12"/>
      <c r="H68" s="13">
        <f t="shared" si="2"/>
        <v>0</v>
      </c>
      <c r="I68" s="12"/>
      <c r="J68" s="12"/>
      <c r="K68" s="12">
        <v>1.0</v>
      </c>
      <c r="L68" s="14">
        <v>2.0</v>
      </c>
      <c r="M68" s="14">
        <v>3.0</v>
      </c>
      <c r="N68" s="14">
        <v>4.0</v>
      </c>
      <c r="O68" s="14">
        <v>5.0</v>
      </c>
      <c r="P68" s="14">
        <v>6.0</v>
      </c>
      <c r="Q68" s="14">
        <v>7.0</v>
      </c>
      <c r="R68" s="14">
        <v>8.0</v>
      </c>
      <c r="S68" s="14">
        <v>9.0</v>
      </c>
      <c r="T68" s="14">
        <v>10.0</v>
      </c>
      <c r="U68" s="14">
        <v>11.0</v>
      </c>
      <c r="V68" s="14">
        <v>12.0</v>
      </c>
      <c r="W68" s="14">
        <v>13.0</v>
      </c>
      <c r="X68" s="14">
        <v>14.0</v>
      </c>
      <c r="Y68" s="14">
        <v>15.0</v>
      </c>
      <c r="Z68" s="14">
        <v>16.0</v>
      </c>
      <c r="AA68" s="14">
        <v>17.0</v>
      </c>
      <c r="AB68" s="14">
        <v>18.0</v>
      </c>
      <c r="AC68" s="14">
        <v>19.0</v>
      </c>
      <c r="AD68" s="14">
        <v>20.0</v>
      </c>
      <c r="AE68" s="14">
        <v>21.0</v>
      </c>
      <c r="AF68" s="14">
        <v>22.0</v>
      </c>
      <c r="AG68" s="14">
        <v>23.0</v>
      </c>
      <c r="AH68" s="14">
        <v>24.0</v>
      </c>
      <c r="AI68" s="14">
        <v>25.0</v>
      </c>
      <c r="AJ68" s="14">
        <v>26.0</v>
      </c>
      <c r="AK68" s="14">
        <v>27.0</v>
      </c>
      <c r="AL68" s="14">
        <v>28.0</v>
      </c>
      <c r="AM68" s="14">
        <v>29.0</v>
      </c>
      <c r="AN68" s="14">
        <v>30.0</v>
      </c>
      <c r="AO68" s="14">
        <v>31.0</v>
      </c>
    </row>
    <row r="69">
      <c r="A69" s="9">
        <v>68.0</v>
      </c>
      <c r="B69" s="15"/>
      <c r="C69" s="19">
        <v>7.0</v>
      </c>
      <c r="D69" s="12"/>
      <c r="E69" s="12"/>
      <c r="F69" s="12" t="str">
        <f t="shared" si="1"/>
        <v>Vacant</v>
      </c>
      <c r="G69" s="12"/>
      <c r="H69" s="13">
        <f t="shared" si="2"/>
        <v>0</v>
      </c>
      <c r="I69" s="12"/>
      <c r="J69" s="12"/>
      <c r="K69" s="12">
        <v>1.0</v>
      </c>
      <c r="L69" s="14">
        <v>2.0</v>
      </c>
      <c r="M69" s="14">
        <v>3.0</v>
      </c>
      <c r="N69" s="14">
        <v>4.0</v>
      </c>
      <c r="O69" s="14">
        <v>5.0</v>
      </c>
      <c r="P69" s="14">
        <v>6.0</v>
      </c>
      <c r="Q69" s="14">
        <v>7.0</v>
      </c>
      <c r="R69" s="14">
        <v>8.0</v>
      </c>
      <c r="S69" s="14">
        <v>9.0</v>
      </c>
      <c r="T69" s="14">
        <v>10.0</v>
      </c>
      <c r="U69" s="14">
        <v>11.0</v>
      </c>
      <c r="V69" s="14">
        <v>12.0</v>
      </c>
      <c r="W69" s="14">
        <v>13.0</v>
      </c>
      <c r="X69" s="14">
        <v>14.0</v>
      </c>
      <c r="Y69" s="14">
        <v>15.0</v>
      </c>
      <c r="Z69" s="14">
        <v>16.0</v>
      </c>
      <c r="AA69" s="14">
        <v>17.0</v>
      </c>
      <c r="AB69" s="14">
        <v>18.0</v>
      </c>
      <c r="AC69" s="14">
        <v>19.0</v>
      </c>
      <c r="AD69" s="14">
        <v>20.0</v>
      </c>
      <c r="AE69" s="14">
        <v>21.0</v>
      </c>
      <c r="AF69" s="14">
        <v>22.0</v>
      </c>
      <c r="AG69" s="14">
        <v>23.0</v>
      </c>
      <c r="AH69" s="14">
        <v>24.0</v>
      </c>
      <c r="AI69" s="14">
        <v>25.0</v>
      </c>
      <c r="AJ69" s="14">
        <v>26.0</v>
      </c>
      <c r="AK69" s="14">
        <v>27.0</v>
      </c>
      <c r="AL69" s="14">
        <v>28.0</v>
      </c>
      <c r="AM69" s="14">
        <v>29.0</v>
      </c>
      <c r="AN69" s="14">
        <v>30.0</v>
      </c>
      <c r="AO69" s="14">
        <v>31.0</v>
      </c>
    </row>
    <row r="70">
      <c r="A70" s="9">
        <v>69.0</v>
      </c>
      <c r="B70" s="17"/>
      <c r="C70" s="19">
        <v>8.0</v>
      </c>
      <c r="D70" s="12"/>
      <c r="E70" s="12"/>
      <c r="F70" s="12" t="str">
        <f t="shared" si="1"/>
        <v>Vacant</v>
      </c>
      <c r="G70" s="12"/>
      <c r="H70" s="13">
        <f t="shared" si="2"/>
        <v>0</v>
      </c>
      <c r="I70" s="12"/>
      <c r="J70" s="12"/>
      <c r="K70" s="12">
        <v>1.0</v>
      </c>
      <c r="L70" s="14">
        <v>2.0</v>
      </c>
      <c r="M70" s="14">
        <v>3.0</v>
      </c>
      <c r="N70" s="14">
        <v>4.0</v>
      </c>
      <c r="O70" s="14">
        <v>5.0</v>
      </c>
      <c r="P70" s="14">
        <v>6.0</v>
      </c>
      <c r="Q70" s="14">
        <v>7.0</v>
      </c>
      <c r="R70" s="14">
        <v>8.0</v>
      </c>
      <c r="S70" s="14">
        <v>9.0</v>
      </c>
      <c r="T70" s="14">
        <v>10.0</v>
      </c>
      <c r="U70" s="14">
        <v>11.0</v>
      </c>
      <c r="V70" s="14">
        <v>12.0</v>
      </c>
      <c r="W70" s="14">
        <v>13.0</v>
      </c>
      <c r="X70" s="14">
        <v>14.0</v>
      </c>
      <c r="Y70" s="14">
        <v>15.0</v>
      </c>
      <c r="Z70" s="14">
        <v>16.0</v>
      </c>
      <c r="AA70" s="14">
        <v>17.0</v>
      </c>
      <c r="AB70" s="14">
        <v>18.0</v>
      </c>
      <c r="AC70" s="14">
        <v>19.0</v>
      </c>
      <c r="AD70" s="14">
        <v>20.0</v>
      </c>
      <c r="AE70" s="14">
        <v>21.0</v>
      </c>
      <c r="AF70" s="14">
        <v>22.0</v>
      </c>
      <c r="AG70" s="14">
        <v>23.0</v>
      </c>
      <c r="AH70" s="14">
        <v>24.0</v>
      </c>
      <c r="AI70" s="14">
        <v>25.0</v>
      </c>
      <c r="AJ70" s="14">
        <v>26.0</v>
      </c>
      <c r="AK70" s="14">
        <v>27.0</v>
      </c>
      <c r="AL70" s="14">
        <v>28.0</v>
      </c>
      <c r="AM70" s="14">
        <v>29.0</v>
      </c>
      <c r="AN70" s="14">
        <v>30.0</v>
      </c>
      <c r="AO70" s="14">
        <v>31.0</v>
      </c>
    </row>
    <row r="71">
      <c r="A71" s="9">
        <v>70.0</v>
      </c>
      <c r="B71" s="18" t="s">
        <v>20</v>
      </c>
      <c r="C71" s="19">
        <v>1.0</v>
      </c>
      <c r="D71" s="12"/>
      <c r="E71" s="12"/>
      <c r="F71" s="12" t="str">
        <f t="shared" si="1"/>
        <v>Vacant</v>
      </c>
      <c r="G71" s="12"/>
      <c r="H71" s="13">
        <f t="shared" si="2"/>
        <v>0</v>
      </c>
      <c r="I71" s="12"/>
      <c r="J71" s="12"/>
      <c r="K71" s="12">
        <v>1.0</v>
      </c>
      <c r="L71" s="14">
        <v>2.0</v>
      </c>
      <c r="M71" s="14">
        <v>3.0</v>
      </c>
      <c r="N71" s="14">
        <v>4.0</v>
      </c>
      <c r="O71" s="14">
        <v>5.0</v>
      </c>
      <c r="P71" s="14">
        <v>6.0</v>
      </c>
      <c r="Q71" s="14">
        <v>7.0</v>
      </c>
      <c r="R71" s="14">
        <v>8.0</v>
      </c>
      <c r="S71" s="14">
        <v>9.0</v>
      </c>
      <c r="T71" s="14">
        <v>10.0</v>
      </c>
      <c r="U71" s="14">
        <v>11.0</v>
      </c>
      <c r="V71" s="14">
        <v>12.0</v>
      </c>
      <c r="W71" s="14">
        <v>13.0</v>
      </c>
      <c r="X71" s="14">
        <v>14.0</v>
      </c>
      <c r="Y71" s="14">
        <v>15.0</v>
      </c>
      <c r="Z71" s="14">
        <v>16.0</v>
      </c>
      <c r="AA71" s="14">
        <v>17.0</v>
      </c>
      <c r="AB71" s="14">
        <v>18.0</v>
      </c>
      <c r="AC71" s="14">
        <v>19.0</v>
      </c>
      <c r="AD71" s="14">
        <v>20.0</v>
      </c>
      <c r="AE71" s="14">
        <v>21.0</v>
      </c>
      <c r="AF71" s="14">
        <v>22.0</v>
      </c>
      <c r="AG71" s="14">
        <v>23.0</v>
      </c>
      <c r="AH71" s="14">
        <v>24.0</v>
      </c>
      <c r="AI71" s="14">
        <v>25.0</v>
      </c>
      <c r="AJ71" s="14">
        <v>26.0</v>
      </c>
      <c r="AK71" s="14">
        <v>27.0</v>
      </c>
      <c r="AL71" s="14">
        <v>28.0</v>
      </c>
      <c r="AM71" s="14">
        <v>29.0</v>
      </c>
      <c r="AN71" s="14">
        <v>30.0</v>
      </c>
      <c r="AO71" s="14">
        <v>31.0</v>
      </c>
    </row>
    <row r="72">
      <c r="A72" s="9">
        <v>71.0</v>
      </c>
      <c r="B72" s="15"/>
      <c r="C72" s="19">
        <v>2.0</v>
      </c>
      <c r="D72" s="12"/>
      <c r="E72" s="12"/>
      <c r="F72" s="12" t="str">
        <f t="shared" si="1"/>
        <v>Vacant</v>
      </c>
      <c r="G72" s="12"/>
      <c r="H72" s="13">
        <f t="shared" si="2"/>
        <v>0</v>
      </c>
      <c r="I72" s="12"/>
      <c r="J72" s="12"/>
      <c r="K72" s="12">
        <v>1.0</v>
      </c>
      <c r="L72" s="14">
        <v>2.0</v>
      </c>
      <c r="M72" s="14">
        <v>3.0</v>
      </c>
      <c r="N72" s="14">
        <v>4.0</v>
      </c>
      <c r="O72" s="14">
        <v>5.0</v>
      </c>
      <c r="P72" s="14">
        <v>6.0</v>
      </c>
      <c r="Q72" s="14">
        <v>7.0</v>
      </c>
      <c r="R72" s="14">
        <v>8.0</v>
      </c>
      <c r="S72" s="14">
        <v>9.0</v>
      </c>
      <c r="T72" s="14">
        <v>10.0</v>
      </c>
      <c r="U72" s="14">
        <v>11.0</v>
      </c>
      <c r="V72" s="14">
        <v>12.0</v>
      </c>
      <c r="W72" s="14">
        <v>13.0</v>
      </c>
      <c r="X72" s="14">
        <v>14.0</v>
      </c>
      <c r="Y72" s="14">
        <v>15.0</v>
      </c>
      <c r="Z72" s="14">
        <v>16.0</v>
      </c>
      <c r="AA72" s="14">
        <v>17.0</v>
      </c>
      <c r="AB72" s="14">
        <v>18.0</v>
      </c>
      <c r="AC72" s="14">
        <v>19.0</v>
      </c>
      <c r="AD72" s="14">
        <v>20.0</v>
      </c>
      <c r="AE72" s="14">
        <v>21.0</v>
      </c>
      <c r="AF72" s="14">
        <v>22.0</v>
      </c>
      <c r="AG72" s="14">
        <v>23.0</v>
      </c>
      <c r="AH72" s="14">
        <v>24.0</v>
      </c>
      <c r="AI72" s="14">
        <v>25.0</v>
      </c>
      <c r="AJ72" s="14">
        <v>26.0</v>
      </c>
      <c r="AK72" s="14">
        <v>27.0</v>
      </c>
      <c r="AL72" s="14">
        <v>28.0</v>
      </c>
      <c r="AM72" s="14">
        <v>29.0</v>
      </c>
      <c r="AN72" s="14">
        <v>30.0</v>
      </c>
      <c r="AO72" s="14">
        <v>31.0</v>
      </c>
    </row>
    <row r="73">
      <c r="A73" s="9">
        <v>72.0</v>
      </c>
      <c r="B73" s="15"/>
      <c r="C73" s="19">
        <v>3.0</v>
      </c>
      <c r="D73" s="12"/>
      <c r="E73" s="12"/>
      <c r="F73" s="12" t="str">
        <f t="shared" si="1"/>
        <v>Vacant</v>
      </c>
      <c r="G73" s="12"/>
      <c r="H73" s="13">
        <f t="shared" si="2"/>
        <v>0</v>
      </c>
      <c r="I73" s="12"/>
      <c r="J73" s="12"/>
      <c r="K73" s="12">
        <v>1.0</v>
      </c>
      <c r="L73" s="14">
        <v>2.0</v>
      </c>
      <c r="M73" s="14">
        <v>3.0</v>
      </c>
      <c r="N73" s="14">
        <v>4.0</v>
      </c>
      <c r="O73" s="14">
        <v>5.0</v>
      </c>
      <c r="P73" s="14">
        <v>6.0</v>
      </c>
      <c r="Q73" s="14">
        <v>7.0</v>
      </c>
      <c r="R73" s="14">
        <v>8.0</v>
      </c>
      <c r="S73" s="14">
        <v>9.0</v>
      </c>
      <c r="T73" s="14">
        <v>10.0</v>
      </c>
      <c r="U73" s="14">
        <v>11.0</v>
      </c>
      <c r="V73" s="14">
        <v>12.0</v>
      </c>
      <c r="W73" s="14">
        <v>13.0</v>
      </c>
      <c r="X73" s="14">
        <v>14.0</v>
      </c>
      <c r="Y73" s="14">
        <v>15.0</v>
      </c>
      <c r="Z73" s="14">
        <v>16.0</v>
      </c>
      <c r="AA73" s="14">
        <v>17.0</v>
      </c>
      <c r="AB73" s="14">
        <v>18.0</v>
      </c>
      <c r="AC73" s="14">
        <v>19.0</v>
      </c>
      <c r="AD73" s="14">
        <v>20.0</v>
      </c>
      <c r="AE73" s="14">
        <v>21.0</v>
      </c>
      <c r="AF73" s="14">
        <v>22.0</v>
      </c>
      <c r="AG73" s="14">
        <v>23.0</v>
      </c>
      <c r="AH73" s="14">
        <v>24.0</v>
      </c>
      <c r="AI73" s="14">
        <v>25.0</v>
      </c>
      <c r="AJ73" s="14">
        <v>26.0</v>
      </c>
      <c r="AK73" s="14">
        <v>27.0</v>
      </c>
      <c r="AL73" s="14">
        <v>28.0</v>
      </c>
      <c r="AM73" s="14">
        <v>29.0</v>
      </c>
      <c r="AN73" s="14">
        <v>30.0</v>
      </c>
      <c r="AO73" s="14">
        <v>31.0</v>
      </c>
    </row>
    <row r="74">
      <c r="A74" s="9">
        <v>73.0</v>
      </c>
      <c r="B74" s="15"/>
      <c r="C74" s="19">
        <v>4.0</v>
      </c>
      <c r="D74" s="12"/>
      <c r="E74" s="12"/>
      <c r="F74" s="12" t="str">
        <f t="shared" si="1"/>
        <v>Vacant</v>
      </c>
      <c r="G74" s="12"/>
      <c r="H74" s="13">
        <f t="shared" si="2"/>
        <v>0</v>
      </c>
      <c r="I74" s="12"/>
      <c r="J74" s="12"/>
      <c r="K74" s="12">
        <v>1.0</v>
      </c>
      <c r="L74" s="14">
        <v>2.0</v>
      </c>
      <c r="M74" s="14">
        <v>3.0</v>
      </c>
      <c r="N74" s="14">
        <v>4.0</v>
      </c>
      <c r="O74" s="14">
        <v>5.0</v>
      </c>
      <c r="P74" s="14">
        <v>6.0</v>
      </c>
      <c r="Q74" s="14">
        <v>7.0</v>
      </c>
      <c r="R74" s="14">
        <v>8.0</v>
      </c>
      <c r="S74" s="14">
        <v>9.0</v>
      </c>
      <c r="T74" s="14">
        <v>10.0</v>
      </c>
      <c r="U74" s="14">
        <v>11.0</v>
      </c>
      <c r="V74" s="14">
        <v>12.0</v>
      </c>
      <c r="W74" s="14">
        <v>13.0</v>
      </c>
      <c r="X74" s="14">
        <v>14.0</v>
      </c>
      <c r="Y74" s="14">
        <v>15.0</v>
      </c>
      <c r="Z74" s="14">
        <v>16.0</v>
      </c>
      <c r="AA74" s="14">
        <v>17.0</v>
      </c>
      <c r="AB74" s="14">
        <v>18.0</v>
      </c>
      <c r="AC74" s="14">
        <v>19.0</v>
      </c>
      <c r="AD74" s="14">
        <v>20.0</v>
      </c>
      <c r="AE74" s="14">
        <v>21.0</v>
      </c>
      <c r="AF74" s="14">
        <v>22.0</v>
      </c>
      <c r="AG74" s="14">
        <v>23.0</v>
      </c>
      <c r="AH74" s="14">
        <v>24.0</v>
      </c>
      <c r="AI74" s="14">
        <v>25.0</v>
      </c>
      <c r="AJ74" s="14">
        <v>26.0</v>
      </c>
      <c r="AK74" s="14">
        <v>27.0</v>
      </c>
      <c r="AL74" s="14">
        <v>28.0</v>
      </c>
      <c r="AM74" s="14">
        <v>29.0</v>
      </c>
      <c r="AN74" s="14">
        <v>30.0</v>
      </c>
      <c r="AO74" s="14">
        <v>31.0</v>
      </c>
    </row>
    <row r="75">
      <c r="A75" s="9">
        <v>74.0</v>
      </c>
      <c r="B75" s="15"/>
      <c r="C75" s="19">
        <v>5.0</v>
      </c>
      <c r="D75" s="12"/>
      <c r="E75" s="12"/>
      <c r="F75" s="12" t="str">
        <f t="shared" si="1"/>
        <v>Vacant</v>
      </c>
      <c r="G75" s="12"/>
      <c r="H75" s="13">
        <f t="shared" si="2"/>
        <v>0</v>
      </c>
      <c r="I75" s="12"/>
      <c r="J75" s="12"/>
      <c r="K75" s="12">
        <v>1.0</v>
      </c>
      <c r="L75" s="14">
        <v>2.0</v>
      </c>
      <c r="M75" s="14">
        <v>3.0</v>
      </c>
      <c r="N75" s="14">
        <v>4.0</v>
      </c>
      <c r="O75" s="14">
        <v>5.0</v>
      </c>
      <c r="P75" s="14">
        <v>6.0</v>
      </c>
      <c r="Q75" s="14">
        <v>7.0</v>
      </c>
      <c r="R75" s="14">
        <v>8.0</v>
      </c>
      <c r="S75" s="14">
        <v>9.0</v>
      </c>
      <c r="T75" s="14">
        <v>10.0</v>
      </c>
      <c r="U75" s="14">
        <v>11.0</v>
      </c>
      <c r="V75" s="14">
        <v>12.0</v>
      </c>
      <c r="W75" s="14">
        <v>13.0</v>
      </c>
      <c r="X75" s="14">
        <v>14.0</v>
      </c>
      <c r="Y75" s="14">
        <v>15.0</v>
      </c>
      <c r="Z75" s="14">
        <v>16.0</v>
      </c>
      <c r="AA75" s="14">
        <v>17.0</v>
      </c>
      <c r="AB75" s="14">
        <v>18.0</v>
      </c>
      <c r="AC75" s="14">
        <v>19.0</v>
      </c>
      <c r="AD75" s="14">
        <v>20.0</v>
      </c>
      <c r="AE75" s="14">
        <v>21.0</v>
      </c>
      <c r="AF75" s="14">
        <v>22.0</v>
      </c>
      <c r="AG75" s="14">
        <v>23.0</v>
      </c>
      <c r="AH75" s="14">
        <v>24.0</v>
      </c>
      <c r="AI75" s="14">
        <v>25.0</v>
      </c>
      <c r="AJ75" s="14">
        <v>26.0</v>
      </c>
      <c r="AK75" s="14">
        <v>27.0</v>
      </c>
      <c r="AL75" s="14">
        <v>28.0</v>
      </c>
      <c r="AM75" s="14">
        <v>29.0</v>
      </c>
      <c r="AN75" s="14">
        <v>30.0</v>
      </c>
      <c r="AO75" s="14">
        <v>31.0</v>
      </c>
    </row>
    <row r="76">
      <c r="A76" s="9">
        <v>75.0</v>
      </c>
      <c r="B76" s="15"/>
      <c r="C76" s="19">
        <v>6.0</v>
      </c>
      <c r="D76" s="12"/>
      <c r="E76" s="12"/>
      <c r="F76" s="12" t="str">
        <f t="shared" si="1"/>
        <v>Vacant</v>
      </c>
      <c r="G76" s="12"/>
      <c r="H76" s="13">
        <f t="shared" si="2"/>
        <v>0</v>
      </c>
      <c r="I76" s="12"/>
      <c r="J76" s="12"/>
      <c r="K76" s="12">
        <v>1.0</v>
      </c>
      <c r="L76" s="14">
        <v>2.0</v>
      </c>
      <c r="M76" s="14">
        <v>3.0</v>
      </c>
      <c r="N76" s="14">
        <v>4.0</v>
      </c>
      <c r="O76" s="14">
        <v>5.0</v>
      </c>
      <c r="P76" s="14">
        <v>6.0</v>
      </c>
      <c r="Q76" s="14">
        <v>7.0</v>
      </c>
      <c r="R76" s="14">
        <v>8.0</v>
      </c>
      <c r="S76" s="14">
        <v>9.0</v>
      </c>
      <c r="T76" s="14">
        <v>10.0</v>
      </c>
      <c r="U76" s="14">
        <v>11.0</v>
      </c>
      <c r="V76" s="14">
        <v>12.0</v>
      </c>
      <c r="W76" s="14">
        <v>13.0</v>
      </c>
      <c r="X76" s="14">
        <v>14.0</v>
      </c>
      <c r="Y76" s="14">
        <v>15.0</v>
      </c>
      <c r="Z76" s="14">
        <v>16.0</v>
      </c>
      <c r="AA76" s="14">
        <v>17.0</v>
      </c>
      <c r="AB76" s="14">
        <v>18.0</v>
      </c>
      <c r="AC76" s="14">
        <v>19.0</v>
      </c>
      <c r="AD76" s="14">
        <v>20.0</v>
      </c>
      <c r="AE76" s="14">
        <v>21.0</v>
      </c>
      <c r="AF76" s="14">
        <v>22.0</v>
      </c>
      <c r="AG76" s="14">
        <v>23.0</v>
      </c>
      <c r="AH76" s="14">
        <v>24.0</v>
      </c>
      <c r="AI76" s="14">
        <v>25.0</v>
      </c>
      <c r="AJ76" s="14">
        <v>26.0</v>
      </c>
      <c r="AK76" s="14">
        <v>27.0</v>
      </c>
      <c r="AL76" s="14">
        <v>28.0</v>
      </c>
      <c r="AM76" s="14">
        <v>29.0</v>
      </c>
      <c r="AN76" s="14">
        <v>30.0</v>
      </c>
      <c r="AO76" s="14">
        <v>31.0</v>
      </c>
    </row>
    <row r="77">
      <c r="A77" s="9">
        <v>76.0</v>
      </c>
      <c r="B77" s="17"/>
      <c r="C77" s="19">
        <v>7.0</v>
      </c>
      <c r="D77" s="12"/>
      <c r="E77" s="12"/>
      <c r="F77" s="12" t="str">
        <f t="shared" si="1"/>
        <v>Vacant</v>
      </c>
      <c r="G77" s="12"/>
      <c r="H77" s="13">
        <f t="shared" si="2"/>
        <v>0</v>
      </c>
      <c r="I77" s="12"/>
      <c r="J77" s="12"/>
      <c r="K77" s="12">
        <v>1.0</v>
      </c>
      <c r="L77" s="14">
        <v>2.0</v>
      </c>
      <c r="M77" s="14">
        <v>3.0</v>
      </c>
      <c r="N77" s="14">
        <v>4.0</v>
      </c>
      <c r="O77" s="14">
        <v>5.0</v>
      </c>
      <c r="P77" s="14">
        <v>6.0</v>
      </c>
      <c r="Q77" s="14">
        <v>7.0</v>
      </c>
      <c r="R77" s="14">
        <v>8.0</v>
      </c>
      <c r="S77" s="14">
        <v>9.0</v>
      </c>
      <c r="T77" s="14">
        <v>10.0</v>
      </c>
      <c r="U77" s="14">
        <v>11.0</v>
      </c>
      <c r="V77" s="14">
        <v>12.0</v>
      </c>
      <c r="W77" s="14">
        <v>13.0</v>
      </c>
      <c r="X77" s="14">
        <v>14.0</v>
      </c>
      <c r="Y77" s="14">
        <v>15.0</v>
      </c>
      <c r="Z77" s="14">
        <v>16.0</v>
      </c>
      <c r="AA77" s="14">
        <v>17.0</v>
      </c>
      <c r="AB77" s="14">
        <v>18.0</v>
      </c>
      <c r="AC77" s="14">
        <v>19.0</v>
      </c>
      <c r="AD77" s="14">
        <v>20.0</v>
      </c>
      <c r="AE77" s="14">
        <v>21.0</v>
      </c>
      <c r="AF77" s="14">
        <v>22.0</v>
      </c>
      <c r="AG77" s="14">
        <v>23.0</v>
      </c>
      <c r="AH77" s="14">
        <v>24.0</v>
      </c>
      <c r="AI77" s="14">
        <v>25.0</v>
      </c>
      <c r="AJ77" s="14">
        <v>26.0</v>
      </c>
      <c r="AK77" s="14">
        <v>27.0</v>
      </c>
      <c r="AL77" s="14">
        <v>28.0</v>
      </c>
      <c r="AM77" s="14">
        <v>29.0</v>
      </c>
      <c r="AN77" s="14">
        <v>30.0</v>
      </c>
      <c r="AO77" s="14">
        <v>31.0</v>
      </c>
    </row>
    <row r="78">
      <c r="A78" s="9">
        <v>77.0</v>
      </c>
      <c r="B78" s="18" t="s">
        <v>21</v>
      </c>
      <c r="C78" s="19">
        <v>1.0</v>
      </c>
      <c r="D78" s="12"/>
      <c r="E78" s="12"/>
      <c r="F78" s="12" t="str">
        <f t="shared" si="1"/>
        <v>Vacant</v>
      </c>
      <c r="G78" s="12"/>
      <c r="H78" s="13">
        <f t="shared" si="2"/>
        <v>0</v>
      </c>
      <c r="I78" s="12"/>
      <c r="J78" s="12"/>
      <c r="K78" s="12">
        <v>1.0</v>
      </c>
      <c r="L78" s="14">
        <v>2.0</v>
      </c>
      <c r="M78" s="14">
        <v>3.0</v>
      </c>
      <c r="N78" s="14">
        <v>4.0</v>
      </c>
      <c r="O78" s="14">
        <v>5.0</v>
      </c>
      <c r="P78" s="14">
        <v>6.0</v>
      </c>
      <c r="Q78" s="14">
        <v>7.0</v>
      </c>
      <c r="R78" s="14">
        <v>8.0</v>
      </c>
      <c r="S78" s="14">
        <v>9.0</v>
      </c>
      <c r="T78" s="14">
        <v>10.0</v>
      </c>
      <c r="U78" s="14">
        <v>11.0</v>
      </c>
      <c r="V78" s="14">
        <v>12.0</v>
      </c>
      <c r="W78" s="14">
        <v>13.0</v>
      </c>
      <c r="X78" s="14">
        <v>14.0</v>
      </c>
      <c r="Y78" s="14">
        <v>15.0</v>
      </c>
      <c r="Z78" s="14">
        <v>16.0</v>
      </c>
      <c r="AA78" s="14">
        <v>17.0</v>
      </c>
      <c r="AB78" s="14">
        <v>18.0</v>
      </c>
      <c r="AC78" s="14">
        <v>19.0</v>
      </c>
      <c r="AD78" s="14">
        <v>20.0</v>
      </c>
      <c r="AE78" s="14">
        <v>21.0</v>
      </c>
      <c r="AF78" s="14">
        <v>22.0</v>
      </c>
      <c r="AG78" s="14">
        <v>23.0</v>
      </c>
      <c r="AH78" s="14">
        <v>24.0</v>
      </c>
      <c r="AI78" s="14">
        <v>25.0</v>
      </c>
      <c r="AJ78" s="14">
        <v>26.0</v>
      </c>
      <c r="AK78" s="14">
        <v>27.0</v>
      </c>
      <c r="AL78" s="14">
        <v>28.0</v>
      </c>
      <c r="AM78" s="14">
        <v>29.0</v>
      </c>
      <c r="AN78" s="14">
        <v>30.0</v>
      </c>
      <c r="AO78" s="14">
        <v>31.0</v>
      </c>
    </row>
    <row r="79">
      <c r="A79" s="9">
        <v>78.0</v>
      </c>
      <c r="B79" s="15"/>
      <c r="C79" s="19">
        <v>2.0</v>
      </c>
      <c r="D79" s="12"/>
      <c r="E79" s="12"/>
      <c r="F79" s="12" t="str">
        <f t="shared" si="1"/>
        <v>Vacant</v>
      </c>
      <c r="G79" s="12"/>
      <c r="H79" s="13">
        <f t="shared" si="2"/>
        <v>0</v>
      </c>
      <c r="I79" s="12"/>
      <c r="J79" s="12"/>
      <c r="K79" s="12">
        <v>1.0</v>
      </c>
      <c r="L79" s="14">
        <v>2.0</v>
      </c>
      <c r="M79" s="14">
        <v>3.0</v>
      </c>
      <c r="N79" s="14">
        <v>4.0</v>
      </c>
      <c r="O79" s="14">
        <v>5.0</v>
      </c>
      <c r="P79" s="14">
        <v>6.0</v>
      </c>
      <c r="Q79" s="14">
        <v>7.0</v>
      </c>
      <c r="R79" s="14">
        <v>8.0</v>
      </c>
      <c r="S79" s="14">
        <v>9.0</v>
      </c>
      <c r="T79" s="14">
        <v>10.0</v>
      </c>
      <c r="U79" s="14">
        <v>11.0</v>
      </c>
      <c r="V79" s="14">
        <v>12.0</v>
      </c>
      <c r="W79" s="14">
        <v>13.0</v>
      </c>
      <c r="X79" s="14">
        <v>14.0</v>
      </c>
      <c r="Y79" s="14">
        <v>15.0</v>
      </c>
      <c r="Z79" s="14">
        <v>16.0</v>
      </c>
      <c r="AA79" s="14">
        <v>17.0</v>
      </c>
      <c r="AB79" s="14">
        <v>18.0</v>
      </c>
      <c r="AC79" s="14">
        <v>19.0</v>
      </c>
      <c r="AD79" s="14">
        <v>20.0</v>
      </c>
      <c r="AE79" s="14">
        <v>21.0</v>
      </c>
      <c r="AF79" s="14">
        <v>22.0</v>
      </c>
      <c r="AG79" s="14">
        <v>23.0</v>
      </c>
      <c r="AH79" s="14">
        <v>24.0</v>
      </c>
      <c r="AI79" s="14">
        <v>25.0</v>
      </c>
      <c r="AJ79" s="14">
        <v>26.0</v>
      </c>
      <c r="AK79" s="14">
        <v>27.0</v>
      </c>
      <c r="AL79" s="14">
        <v>28.0</v>
      </c>
      <c r="AM79" s="14">
        <v>29.0</v>
      </c>
      <c r="AN79" s="14">
        <v>30.0</v>
      </c>
      <c r="AO79" s="14">
        <v>31.0</v>
      </c>
    </row>
    <row r="80">
      <c r="A80" s="9">
        <v>79.0</v>
      </c>
      <c r="B80" s="15"/>
      <c r="C80" s="19">
        <v>3.0</v>
      </c>
      <c r="D80" s="12"/>
      <c r="E80" s="12"/>
      <c r="F80" s="12" t="str">
        <f t="shared" si="1"/>
        <v>Vacant</v>
      </c>
      <c r="G80" s="12"/>
      <c r="H80" s="13">
        <f t="shared" si="2"/>
        <v>0</v>
      </c>
      <c r="I80" s="12"/>
      <c r="J80" s="12"/>
      <c r="K80" s="12">
        <v>1.0</v>
      </c>
      <c r="L80" s="14">
        <v>2.0</v>
      </c>
      <c r="M80" s="14">
        <v>3.0</v>
      </c>
      <c r="N80" s="14">
        <v>4.0</v>
      </c>
      <c r="O80" s="14">
        <v>5.0</v>
      </c>
      <c r="P80" s="14">
        <v>6.0</v>
      </c>
      <c r="Q80" s="14">
        <v>7.0</v>
      </c>
      <c r="R80" s="14">
        <v>8.0</v>
      </c>
      <c r="S80" s="14">
        <v>9.0</v>
      </c>
      <c r="T80" s="14">
        <v>10.0</v>
      </c>
      <c r="U80" s="14">
        <v>11.0</v>
      </c>
      <c r="V80" s="14">
        <v>12.0</v>
      </c>
      <c r="W80" s="14">
        <v>13.0</v>
      </c>
      <c r="X80" s="14">
        <v>14.0</v>
      </c>
      <c r="Y80" s="14">
        <v>15.0</v>
      </c>
      <c r="Z80" s="14">
        <v>16.0</v>
      </c>
      <c r="AA80" s="14">
        <v>17.0</v>
      </c>
      <c r="AB80" s="14">
        <v>18.0</v>
      </c>
      <c r="AC80" s="14">
        <v>19.0</v>
      </c>
      <c r="AD80" s="14">
        <v>20.0</v>
      </c>
      <c r="AE80" s="14">
        <v>21.0</v>
      </c>
      <c r="AF80" s="14">
        <v>22.0</v>
      </c>
      <c r="AG80" s="14">
        <v>23.0</v>
      </c>
      <c r="AH80" s="14">
        <v>24.0</v>
      </c>
      <c r="AI80" s="14">
        <v>25.0</v>
      </c>
      <c r="AJ80" s="14">
        <v>26.0</v>
      </c>
      <c r="AK80" s="14">
        <v>27.0</v>
      </c>
      <c r="AL80" s="14">
        <v>28.0</v>
      </c>
      <c r="AM80" s="14">
        <v>29.0</v>
      </c>
      <c r="AN80" s="14">
        <v>30.0</v>
      </c>
      <c r="AO80" s="14">
        <v>31.0</v>
      </c>
    </row>
    <row r="81">
      <c r="A81" s="9">
        <v>80.0</v>
      </c>
      <c r="B81" s="15"/>
      <c r="C81" s="19">
        <v>4.0</v>
      </c>
      <c r="D81" s="12"/>
      <c r="E81" s="12"/>
      <c r="F81" s="12" t="str">
        <f t="shared" si="1"/>
        <v>Vacant</v>
      </c>
      <c r="G81" s="12"/>
      <c r="H81" s="13">
        <f t="shared" si="2"/>
        <v>0</v>
      </c>
      <c r="I81" s="12"/>
      <c r="J81" s="12"/>
      <c r="K81" s="12">
        <v>1.0</v>
      </c>
      <c r="L81" s="14">
        <v>2.0</v>
      </c>
      <c r="M81" s="14">
        <v>3.0</v>
      </c>
      <c r="N81" s="14">
        <v>4.0</v>
      </c>
      <c r="O81" s="14">
        <v>5.0</v>
      </c>
      <c r="P81" s="14">
        <v>6.0</v>
      </c>
      <c r="Q81" s="14">
        <v>7.0</v>
      </c>
      <c r="R81" s="14">
        <v>8.0</v>
      </c>
      <c r="S81" s="14">
        <v>9.0</v>
      </c>
      <c r="T81" s="14">
        <v>10.0</v>
      </c>
      <c r="U81" s="14">
        <v>11.0</v>
      </c>
      <c r="V81" s="14">
        <v>12.0</v>
      </c>
      <c r="W81" s="14">
        <v>13.0</v>
      </c>
      <c r="X81" s="14">
        <v>14.0</v>
      </c>
      <c r="Y81" s="14">
        <v>15.0</v>
      </c>
      <c r="Z81" s="14">
        <v>16.0</v>
      </c>
      <c r="AA81" s="14">
        <v>17.0</v>
      </c>
      <c r="AB81" s="14">
        <v>18.0</v>
      </c>
      <c r="AC81" s="14">
        <v>19.0</v>
      </c>
      <c r="AD81" s="14">
        <v>20.0</v>
      </c>
      <c r="AE81" s="14">
        <v>21.0</v>
      </c>
      <c r="AF81" s="14">
        <v>22.0</v>
      </c>
      <c r="AG81" s="14">
        <v>23.0</v>
      </c>
      <c r="AH81" s="14">
        <v>24.0</v>
      </c>
      <c r="AI81" s="14">
        <v>25.0</v>
      </c>
      <c r="AJ81" s="14">
        <v>26.0</v>
      </c>
      <c r="AK81" s="14">
        <v>27.0</v>
      </c>
      <c r="AL81" s="14">
        <v>28.0</v>
      </c>
      <c r="AM81" s="14">
        <v>29.0</v>
      </c>
      <c r="AN81" s="14">
        <v>30.0</v>
      </c>
      <c r="AO81" s="14">
        <v>31.0</v>
      </c>
    </row>
    <row r="82">
      <c r="A82" s="9">
        <v>81.0</v>
      </c>
      <c r="B82" s="15"/>
      <c r="C82" s="19">
        <v>5.0</v>
      </c>
      <c r="D82" s="12"/>
      <c r="E82" s="12"/>
      <c r="F82" s="12" t="str">
        <f t="shared" si="1"/>
        <v>Vacant</v>
      </c>
      <c r="G82" s="12"/>
      <c r="H82" s="13">
        <f t="shared" si="2"/>
        <v>0</v>
      </c>
      <c r="I82" s="12"/>
      <c r="J82" s="12"/>
      <c r="K82" s="12">
        <v>1.0</v>
      </c>
      <c r="L82" s="14">
        <v>2.0</v>
      </c>
      <c r="M82" s="14">
        <v>3.0</v>
      </c>
      <c r="N82" s="14">
        <v>4.0</v>
      </c>
      <c r="O82" s="14">
        <v>5.0</v>
      </c>
      <c r="P82" s="14">
        <v>6.0</v>
      </c>
      <c r="Q82" s="14">
        <v>7.0</v>
      </c>
      <c r="R82" s="14">
        <v>8.0</v>
      </c>
      <c r="S82" s="14">
        <v>9.0</v>
      </c>
      <c r="T82" s="14">
        <v>10.0</v>
      </c>
      <c r="U82" s="14">
        <v>11.0</v>
      </c>
      <c r="V82" s="14">
        <v>12.0</v>
      </c>
      <c r="W82" s="14">
        <v>13.0</v>
      </c>
      <c r="X82" s="14">
        <v>14.0</v>
      </c>
      <c r="Y82" s="14">
        <v>15.0</v>
      </c>
      <c r="Z82" s="14">
        <v>16.0</v>
      </c>
      <c r="AA82" s="14">
        <v>17.0</v>
      </c>
      <c r="AB82" s="14">
        <v>18.0</v>
      </c>
      <c r="AC82" s="14">
        <v>19.0</v>
      </c>
      <c r="AD82" s="14">
        <v>20.0</v>
      </c>
      <c r="AE82" s="14">
        <v>21.0</v>
      </c>
      <c r="AF82" s="14">
        <v>22.0</v>
      </c>
      <c r="AG82" s="14">
        <v>23.0</v>
      </c>
      <c r="AH82" s="14">
        <v>24.0</v>
      </c>
      <c r="AI82" s="14">
        <v>25.0</v>
      </c>
      <c r="AJ82" s="14">
        <v>26.0</v>
      </c>
      <c r="AK82" s="14">
        <v>27.0</v>
      </c>
      <c r="AL82" s="14">
        <v>28.0</v>
      </c>
      <c r="AM82" s="14">
        <v>29.0</v>
      </c>
      <c r="AN82" s="14">
        <v>30.0</v>
      </c>
      <c r="AO82" s="14">
        <v>31.0</v>
      </c>
    </row>
    <row r="83">
      <c r="A83" s="9">
        <v>82.0</v>
      </c>
      <c r="B83" s="15"/>
      <c r="C83" s="19">
        <v>6.0</v>
      </c>
      <c r="D83" s="12"/>
      <c r="E83" s="12"/>
      <c r="F83" s="12" t="str">
        <f t="shared" si="1"/>
        <v>Vacant</v>
      </c>
      <c r="G83" s="12"/>
      <c r="H83" s="13">
        <f t="shared" si="2"/>
        <v>0</v>
      </c>
      <c r="I83" s="12"/>
      <c r="J83" s="12"/>
      <c r="K83" s="12">
        <v>1.0</v>
      </c>
      <c r="L83" s="14">
        <v>2.0</v>
      </c>
      <c r="M83" s="14">
        <v>3.0</v>
      </c>
      <c r="N83" s="14">
        <v>4.0</v>
      </c>
      <c r="O83" s="14">
        <v>5.0</v>
      </c>
      <c r="P83" s="14">
        <v>6.0</v>
      </c>
      <c r="Q83" s="14">
        <v>7.0</v>
      </c>
      <c r="R83" s="14">
        <v>8.0</v>
      </c>
      <c r="S83" s="14">
        <v>9.0</v>
      </c>
      <c r="T83" s="14">
        <v>10.0</v>
      </c>
      <c r="U83" s="14">
        <v>11.0</v>
      </c>
      <c r="V83" s="14">
        <v>12.0</v>
      </c>
      <c r="W83" s="14">
        <v>13.0</v>
      </c>
      <c r="X83" s="14">
        <v>14.0</v>
      </c>
      <c r="Y83" s="14">
        <v>15.0</v>
      </c>
      <c r="Z83" s="14">
        <v>16.0</v>
      </c>
      <c r="AA83" s="14">
        <v>17.0</v>
      </c>
      <c r="AB83" s="14">
        <v>18.0</v>
      </c>
      <c r="AC83" s="14">
        <v>19.0</v>
      </c>
      <c r="AD83" s="14">
        <v>20.0</v>
      </c>
      <c r="AE83" s="14">
        <v>21.0</v>
      </c>
      <c r="AF83" s="14">
        <v>22.0</v>
      </c>
      <c r="AG83" s="14">
        <v>23.0</v>
      </c>
      <c r="AH83" s="14">
        <v>24.0</v>
      </c>
      <c r="AI83" s="14">
        <v>25.0</v>
      </c>
      <c r="AJ83" s="14">
        <v>26.0</v>
      </c>
      <c r="AK83" s="14">
        <v>27.0</v>
      </c>
      <c r="AL83" s="14">
        <v>28.0</v>
      </c>
      <c r="AM83" s="14">
        <v>29.0</v>
      </c>
      <c r="AN83" s="14">
        <v>30.0</v>
      </c>
      <c r="AO83" s="14">
        <v>31.0</v>
      </c>
    </row>
    <row r="84">
      <c r="A84" s="9">
        <v>83.0</v>
      </c>
      <c r="B84" s="17"/>
      <c r="C84" s="19">
        <v>7.0</v>
      </c>
      <c r="D84" s="12"/>
      <c r="E84" s="12"/>
      <c r="F84" s="12" t="str">
        <f t="shared" si="1"/>
        <v>Vacant</v>
      </c>
      <c r="G84" s="12"/>
      <c r="H84" s="13">
        <f t="shared" si="2"/>
        <v>0</v>
      </c>
      <c r="I84" s="12"/>
      <c r="J84" s="12"/>
      <c r="K84" s="12">
        <v>1.0</v>
      </c>
      <c r="L84" s="14">
        <v>2.0</v>
      </c>
      <c r="M84" s="14">
        <v>3.0</v>
      </c>
      <c r="N84" s="14">
        <v>4.0</v>
      </c>
      <c r="O84" s="14">
        <v>5.0</v>
      </c>
      <c r="P84" s="14">
        <v>6.0</v>
      </c>
      <c r="Q84" s="14">
        <v>7.0</v>
      </c>
      <c r="R84" s="14">
        <v>8.0</v>
      </c>
      <c r="S84" s="14">
        <v>9.0</v>
      </c>
      <c r="T84" s="14">
        <v>10.0</v>
      </c>
      <c r="U84" s="14">
        <v>11.0</v>
      </c>
      <c r="V84" s="14">
        <v>12.0</v>
      </c>
      <c r="W84" s="14">
        <v>13.0</v>
      </c>
      <c r="X84" s="14">
        <v>14.0</v>
      </c>
      <c r="Y84" s="14">
        <v>15.0</v>
      </c>
      <c r="Z84" s="14">
        <v>16.0</v>
      </c>
      <c r="AA84" s="14">
        <v>17.0</v>
      </c>
      <c r="AB84" s="14">
        <v>18.0</v>
      </c>
      <c r="AC84" s="14">
        <v>19.0</v>
      </c>
      <c r="AD84" s="14">
        <v>20.0</v>
      </c>
      <c r="AE84" s="14">
        <v>21.0</v>
      </c>
      <c r="AF84" s="14">
        <v>22.0</v>
      </c>
      <c r="AG84" s="14">
        <v>23.0</v>
      </c>
      <c r="AH84" s="14">
        <v>24.0</v>
      </c>
      <c r="AI84" s="14">
        <v>25.0</v>
      </c>
      <c r="AJ84" s="14">
        <v>26.0</v>
      </c>
      <c r="AK84" s="14">
        <v>27.0</v>
      </c>
      <c r="AL84" s="14">
        <v>28.0</v>
      </c>
      <c r="AM84" s="14">
        <v>29.0</v>
      </c>
      <c r="AN84" s="14">
        <v>30.0</v>
      </c>
      <c r="AO84" s="14">
        <v>31.0</v>
      </c>
    </row>
    <row r="85">
      <c r="A85" s="9">
        <v>84.0</v>
      </c>
      <c r="B85" s="20" t="s">
        <v>22</v>
      </c>
      <c r="C85" s="21">
        <v>1.0</v>
      </c>
      <c r="D85" s="12"/>
      <c r="E85" s="12"/>
      <c r="F85" s="12" t="str">
        <f t="shared" si="1"/>
        <v>Vacant</v>
      </c>
      <c r="G85" s="12"/>
      <c r="H85" s="13">
        <f t="shared" si="2"/>
        <v>0</v>
      </c>
      <c r="I85" s="12"/>
      <c r="J85" s="12"/>
      <c r="K85" s="12">
        <v>1.0</v>
      </c>
      <c r="L85" s="14">
        <v>2.0</v>
      </c>
      <c r="M85" s="14">
        <v>3.0</v>
      </c>
      <c r="N85" s="14">
        <v>4.0</v>
      </c>
      <c r="O85" s="14">
        <v>5.0</v>
      </c>
      <c r="P85" s="14">
        <v>6.0</v>
      </c>
      <c r="Q85" s="14">
        <v>7.0</v>
      </c>
      <c r="R85" s="14">
        <v>8.0</v>
      </c>
      <c r="S85" s="14">
        <v>9.0</v>
      </c>
      <c r="T85" s="14">
        <v>10.0</v>
      </c>
      <c r="U85" s="14">
        <v>11.0</v>
      </c>
      <c r="V85" s="14">
        <v>12.0</v>
      </c>
      <c r="W85" s="14">
        <v>13.0</v>
      </c>
      <c r="X85" s="14">
        <v>14.0</v>
      </c>
      <c r="Y85" s="14">
        <v>15.0</v>
      </c>
      <c r="Z85" s="14">
        <v>16.0</v>
      </c>
      <c r="AA85" s="14">
        <v>17.0</v>
      </c>
      <c r="AB85" s="14">
        <v>18.0</v>
      </c>
      <c r="AC85" s="14">
        <v>19.0</v>
      </c>
      <c r="AD85" s="14">
        <v>20.0</v>
      </c>
      <c r="AE85" s="14">
        <v>21.0</v>
      </c>
      <c r="AF85" s="14">
        <v>22.0</v>
      </c>
      <c r="AG85" s="14">
        <v>23.0</v>
      </c>
      <c r="AH85" s="14">
        <v>24.0</v>
      </c>
      <c r="AI85" s="14">
        <v>25.0</v>
      </c>
      <c r="AJ85" s="14">
        <v>26.0</v>
      </c>
      <c r="AK85" s="14">
        <v>27.0</v>
      </c>
      <c r="AL85" s="14">
        <v>28.0</v>
      </c>
      <c r="AM85" s="14">
        <v>29.0</v>
      </c>
      <c r="AN85" s="14">
        <v>30.0</v>
      </c>
      <c r="AO85" s="14">
        <v>31.0</v>
      </c>
    </row>
    <row r="86">
      <c r="A86" s="9">
        <v>85.0</v>
      </c>
      <c r="B86" s="15"/>
      <c r="C86" s="21">
        <v>2.0</v>
      </c>
      <c r="D86" s="12"/>
      <c r="E86" s="12"/>
      <c r="F86" s="12" t="str">
        <f t="shared" si="1"/>
        <v>Vacant</v>
      </c>
      <c r="G86" s="12"/>
      <c r="H86" s="13">
        <f t="shared" si="2"/>
        <v>0</v>
      </c>
      <c r="I86" s="12"/>
      <c r="J86" s="12"/>
      <c r="K86" s="12">
        <v>1.0</v>
      </c>
      <c r="L86" s="14">
        <v>2.0</v>
      </c>
      <c r="M86" s="14">
        <v>3.0</v>
      </c>
      <c r="N86" s="14">
        <v>4.0</v>
      </c>
      <c r="O86" s="14">
        <v>5.0</v>
      </c>
      <c r="P86" s="14">
        <v>6.0</v>
      </c>
      <c r="Q86" s="14">
        <v>7.0</v>
      </c>
      <c r="R86" s="14">
        <v>8.0</v>
      </c>
      <c r="S86" s="14">
        <v>9.0</v>
      </c>
      <c r="T86" s="14">
        <v>10.0</v>
      </c>
      <c r="U86" s="14">
        <v>11.0</v>
      </c>
      <c r="V86" s="14">
        <v>12.0</v>
      </c>
      <c r="W86" s="14">
        <v>13.0</v>
      </c>
      <c r="X86" s="14">
        <v>14.0</v>
      </c>
      <c r="Y86" s="14">
        <v>15.0</v>
      </c>
      <c r="Z86" s="14">
        <v>16.0</v>
      </c>
      <c r="AA86" s="14">
        <v>17.0</v>
      </c>
      <c r="AB86" s="14">
        <v>18.0</v>
      </c>
      <c r="AC86" s="14">
        <v>19.0</v>
      </c>
      <c r="AD86" s="14">
        <v>20.0</v>
      </c>
      <c r="AE86" s="14">
        <v>21.0</v>
      </c>
      <c r="AF86" s="14">
        <v>22.0</v>
      </c>
      <c r="AG86" s="14">
        <v>23.0</v>
      </c>
      <c r="AH86" s="14">
        <v>24.0</v>
      </c>
      <c r="AI86" s="14">
        <v>25.0</v>
      </c>
      <c r="AJ86" s="14">
        <v>26.0</v>
      </c>
      <c r="AK86" s="14">
        <v>27.0</v>
      </c>
      <c r="AL86" s="14">
        <v>28.0</v>
      </c>
      <c r="AM86" s="14">
        <v>29.0</v>
      </c>
      <c r="AN86" s="14">
        <v>30.0</v>
      </c>
      <c r="AO86" s="14">
        <v>31.0</v>
      </c>
    </row>
    <row r="87">
      <c r="A87" s="9">
        <v>86.0</v>
      </c>
      <c r="B87" s="15"/>
      <c r="C87" s="21">
        <v>3.0</v>
      </c>
      <c r="D87" s="12"/>
      <c r="E87" s="12"/>
      <c r="F87" s="12" t="str">
        <f t="shared" si="1"/>
        <v>Vacant</v>
      </c>
      <c r="G87" s="12"/>
      <c r="H87" s="13">
        <f t="shared" si="2"/>
        <v>0</v>
      </c>
      <c r="I87" s="12"/>
      <c r="J87" s="12"/>
      <c r="K87" s="12">
        <v>1.0</v>
      </c>
      <c r="L87" s="14">
        <v>2.0</v>
      </c>
      <c r="M87" s="14">
        <v>3.0</v>
      </c>
      <c r="N87" s="14">
        <v>4.0</v>
      </c>
      <c r="O87" s="14">
        <v>5.0</v>
      </c>
      <c r="P87" s="14">
        <v>6.0</v>
      </c>
      <c r="Q87" s="14">
        <v>7.0</v>
      </c>
      <c r="R87" s="14">
        <v>8.0</v>
      </c>
      <c r="S87" s="14">
        <v>9.0</v>
      </c>
      <c r="T87" s="14">
        <v>10.0</v>
      </c>
      <c r="U87" s="14">
        <v>11.0</v>
      </c>
      <c r="V87" s="14">
        <v>12.0</v>
      </c>
      <c r="W87" s="14">
        <v>13.0</v>
      </c>
      <c r="X87" s="14">
        <v>14.0</v>
      </c>
      <c r="Y87" s="14">
        <v>15.0</v>
      </c>
      <c r="Z87" s="14">
        <v>16.0</v>
      </c>
      <c r="AA87" s="14">
        <v>17.0</v>
      </c>
      <c r="AB87" s="14">
        <v>18.0</v>
      </c>
      <c r="AC87" s="14">
        <v>19.0</v>
      </c>
      <c r="AD87" s="14">
        <v>20.0</v>
      </c>
      <c r="AE87" s="14">
        <v>21.0</v>
      </c>
      <c r="AF87" s="14">
        <v>22.0</v>
      </c>
      <c r="AG87" s="14">
        <v>23.0</v>
      </c>
      <c r="AH87" s="14">
        <v>24.0</v>
      </c>
      <c r="AI87" s="14">
        <v>25.0</v>
      </c>
      <c r="AJ87" s="14">
        <v>26.0</v>
      </c>
      <c r="AK87" s="14">
        <v>27.0</v>
      </c>
      <c r="AL87" s="14">
        <v>28.0</v>
      </c>
      <c r="AM87" s="14">
        <v>29.0</v>
      </c>
      <c r="AN87" s="14">
        <v>30.0</v>
      </c>
      <c r="AO87" s="14">
        <v>31.0</v>
      </c>
    </row>
    <row r="88">
      <c r="A88" s="9">
        <v>87.0</v>
      </c>
      <c r="B88" s="15"/>
      <c r="C88" s="21">
        <v>4.0</v>
      </c>
      <c r="D88" s="12"/>
      <c r="E88" s="12"/>
      <c r="F88" s="12" t="str">
        <f t="shared" si="1"/>
        <v>Vacant</v>
      </c>
      <c r="G88" s="12"/>
      <c r="H88" s="13">
        <f t="shared" si="2"/>
        <v>0</v>
      </c>
      <c r="I88" s="12"/>
      <c r="J88" s="12"/>
      <c r="K88" s="12">
        <v>1.0</v>
      </c>
      <c r="L88" s="14">
        <v>2.0</v>
      </c>
      <c r="M88" s="14">
        <v>3.0</v>
      </c>
      <c r="N88" s="14">
        <v>4.0</v>
      </c>
      <c r="O88" s="14">
        <v>5.0</v>
      </c>
      <c r="P88" s="14">
        <v>6.0</v>
      </c>
      <c r="Q88" s="14">
        <v>7.0</v>
      </c>
      <c r="R88" s="14">
        <v>8.0</v>
      </c>
      <c r="S88" s="14">
        <v>9.0</v>
      </c>
      <c r="T88" s="14">
        <v>10.0</v>
      </c>
      <c r="U88" s="14">
        <v>11.0</v>
      </c>
      <c r="V88" s="14">
        <v>12.0</v>
      </c>
      <c r="W88" s="14">
        <v>13.0</v>
      </c>
      <c r="X88" s="14">
        <v>14.0</v>
      </c>
      <c r="Y88" s="14">
        <v>15.0</v>
      </c>
      <c r="Z88" s="14">
        <v>16.0</v>
      </c>
      <c r="AA88" s="14">
        <v>17.0</v>
      </c>
      <c r="AB88" s="14">
        <v>18.0</v>
      </c>
      <c r="AC88" s="14">
        <v>19.0</v>
      </c>
      <c r="AD88" s="14">
        <v>20.0</v>
      </c>
      <c r="AE88" s="14">
        <v>21.0</v>
      </c>
      <c r="AF88" s="14">
        <v>22.0</v>
      </c>
      <c r="AG88" s="14">
        <v>23.0</v>
      </c>
      <c r="AH88" s="14">
        <v>24.0</v>
      </c>
      <c r="AI88" s="14">
        <v>25.0</v>
      </c>
      <c r="AJ88" s="14">
        <v>26.0</v>
      </c>
      <c r="AK88" s="14">
        <v>27.0</v>
      </c>
      <c r="AL88" s="14">
        <v>28.0</v>
      </c>
      <c r="AM88" s="14">
        <v>29.0</v>
      </c>
      <c r="AN88" s="14">
        <v>30.0</v>
      </c>
      <c r="AO88" s="14">
        <v>31.0</v>
      </c>
    </row>
    <row r="89">
      <c r="A89" s="9">
        <v>88.0</v>
      </c>
      <c r="B89" s="15"/>
      <c r="C89" s="21">
        <v>5.0</v>
      </c>
      <c r="D89" s="12"/>
      <c r="E89" s="12"/>
      <c r="F89" s="12" t="str">
        <f t="shared" si="1"/>
        <v>Vacant</v>
      </c>
      <c r="G89" s="12"/>
      <c r="H89" s="13">
        <f t="shared" si="2"/>
        <v>0</v>
      </c>
      <c r="I89" s="12"/>
      <c r="J89" s="12"/>
      <c r="K89" s="12">
        <v>1.0</v>
      </c>
      <c r="L89" s="14">
        <v>2.0</v>
      </c>
      <c r="M89" s="14">
        <v>3.0</v>
      </c>
      <c r="N89" s="14">
        <v>4.0</v>
      </c>
      <c r="O89" s="14">
        <v>5.0</v>
      </c>
      <c r="P89" s="14">
        <v>6.0</v>
      </c>
      <c r="Q89" s="14">
        <v>7.0</v>
      </c>
      <c r="R89" s="14">
        <v>8.0</v>
      </c>
      <c r="S89" s="14">
        <v>9.0</v>
      </c>
      <c r="T89" s="14">
        <v>10.0</v>
      </c>
      <c r="U89" s="14">
        <v>11.0</v>
      </c>
      <c r="V89" s="14">
        <v>12.0</v>
      </c>
      <c r="W89" s="14">
        <v>13.0</v>
      </c>
      <c r="X89" s="14">
        <v>14.0</v>
      </c>
      <c r="Y89" s="14">
        <v>15.0</v>
      </c>
      <c r="Z89" s="14">
        <v>16.0</v>
      </c>
      <c r="AA89" s="14">
        <v>17.0</v>
      </c>
      <c r="AB89" s="14">
        <v>18.0</v>
      </c>
      <c r="AC89" s="14">
        <v>19.0</v>
      </c>
      <c r="AD89" s="14">
        <v>20.0</v>
      </c>
      <c r="AE89" s="14">
        <v>21.0</v>
      </c>
      <c r="AF89" s="14">
        <v>22.0</v>
      </c>
      <c r="AG89" s="14">
        <v>23.0</v>
      </c>
      <c r="AH89" s="14">
        <v>24.0</v>
      </c>
      <c r="AI89" s="14">
        <v>25.0</v>
      </c>
      <c r="AJ89" s="14">
        <v>26.0</v>
      </c>
      <c r="AK89" s="14">
        <v>27.0</v>
      </c>
      <c r="AL89" s="14">
        <v>28.0</v>
      </c>
      <c r="AM89" s="14">
        <v>29.0</v>
      </c>
      <c r="AN89" s="14">
        <v>30.0</v>
      </c>
      <c r="AO89" s="14">
        <v>31.0</v>
      </c>
    </row>
    <row r="90">
      <c r="A90" s="9">
        <v>89.0</v>
      </c>
      <c r="B90" s="15"/>
      <c r="C90" s="21">
        <v>6.0</v>
      </c>
      <c r="D90" s="12"/>
      <c r="E90" s="12"/>
      <c r="F90" s="12" t="str">
        <f t="shared" si="1"/>
        <v>Vacant</v>
      </c>
      <c r="G90" s="12"/>
      <c r="H90" s="13">
        <f t="shared" si="2"/>
        <v>0</v>
      </c>
      <c r="I90" s="12"/>
      <c r="J90" s="12"/>
      <c r="K90" s="12">
        <v>1.0</v>
      </c>
      <c r="L90" s="14">
        <v>2.0</v>
      </c>
      <c r="M90" s="14">
        <v>3.0</v>
      </c>
      <c r="N90" s="14">
        <v>4.0</v>
      </c>
      <c r="O90" s="14">
        <v>5.0</v>
      </c>
      <c r="P90" s="14">
        <v>6.0</v>
      </c>
      <c r="Q90" s="14">
        <v>7.0</v>
      </c>
      <c r="R90" s="14">
        <v>8.0</v>
      </c>
      <c r="S90" s="14">
        <v>9.0</v>
      </c>
      <c r="T90" s="14">
        <v>10.0</v>
      </c>
      <c r="U90" s="14">
        <v>11.0</v>
      </c>
      <c r="V90" s="14">
        <v>12.0</v>
      </c>
      <c r="W90" s="14">
        <v>13.0</v>
      </c>
      <c r="X90" s="14">
        <v>14.0</v>
      </c>
      <c r="Y90" s="14">
        <v>15.0</v>
      </c>
      <c r="Z90" s="14">
        <v>16.0</v>
      </c>
      <c r="AA90" s="14">
        <v>17.0</v>
      </c>
      <c r="AB90" s="14">
        <v>18.0</v>
      </c>
      <c r="AC90" s="14">
        <v>19.0</v>
      </c>
      <c r="AD90" s="14">
        <v>20.0</v>
      </c>
      <c r="AE90" s="14">
        <v>21.0</v>
      </c>
      <c r="AF90" s="14">
        <v>22.0</v>
      </c>
      <c r="AG90" s="14">
        <v>23.0</v>
      </c>
      <c r="AH90" s="14">
        <v>24.0</v>
      </c>
      <c r="AI90" s="14">
        <v>25.0</v>
      </c>
      <c r="AJ90" s="14">
        <v>26.0</v>
      </c>
      <c r="AK90" s="14">
        <v>27.0</v>
      </c>
      <c r="AL90" s="14">
        <v>28.0</v>
      </c>
      <c r="AM90" s="14">
        <v>29.0</v>
      </c>
      <c r="AN90" s="14">
        <v>30.0</v>
      </c>
      <c r="AO90" s="14">
        <v>31.0</v>
      </c>
    </row>
    <row r="91">
      <c r="A91" s="9">
        <v>90.0</v>
      </c>
      <c r="B91" s="15"/>
      <c r="C91" s="21">
        <v>7.0</v>
      </c>
      <c r="D91" s="12"/>
      <c r="E91" s="12"/>
      <c r="F91" s="12" t="str">
        <f t="shared" si="1"/>
        <v>Vacant</v>
      </c>
      <c r="G91" s="12"/>
      <c r="H91" s="13">
        <f t="shared" si="2"/>
        <v>0</v>
      </c>
      <c r="I91" s="12"/>
      <c r="J91" s="12"/>
      <c r="K91" s="12">
        <v>1.0</v>
      </c>
      <c r="L91" s="14">
        <v>2.0</v>
      </c>
      <c r="M91" s="14">
        <v>3.0</v>
      </c>
      <c r="N91" s="14">
        <v>4.0</v>
      </c>
      <c r="O91" s="14">
        <v>5.0</v>
      </c>
      <c r="P91" s="14">
        <v>6.0</v>
      </c>
      <c r="Q91" s="14">
        <v>7.0</v>
      </c>
      <c r="R91" s="14">
        <v>8.0</v>
      </c>
      <c r="S91" s="14">
        <v>9.0</v>
      </c>
      <c r="T91" s="14">
        <v>10.0</v>
      </c>
      <c r="U91" s="14">
        <v>11.0</v>
      </c>
      <c r="V91" s="14">
        <v>12.0</v>
      </c>
      <c r="W91" s="14">
        <v>13.0</v>
      </c>
      <c r="X91" s="14">
        <v>14.0</v>
      </c>
      <c r="Y91" s="14">
        <v>15.0</v>
      </c>
      <c r="Z91" s="14">
        <v>16.0</v>
      </c>
      <c r="AA91" s="14">
        <v>17.0</v>
      </c>
      <c r="AB91" s="14">
        <v>18.0</v>
      </c>
      <c r="AC91" s="14">
        <v>19.0</v>
      </c>
      <c r="AD91" s="14">
        <v>20.0</v>
      </c>
      <c r="AE91" s="14">
        <v>21.0</v>
      </c>
      <c r="AF91" s="14">
        <v>22.0</v>
      </c>
      <c r="AG91" s="14">
        <v>23.0</v>
      </c>
      <c r="AH91" s="14">
        <v>24.0</v>
      </c>
      <c r="AI91" s="14">
        <v>25.0</v>
      </c>
      <c r="AJ91" s="14">
        <v>26.0</v>
      </c>
      <c r="AK91" s="14">
        <v>27.0</v>
      </c>
      <c r="AL91" s="14">
        <v>28.0</v>
      </c>
      <c r="AM91" s="14">
        <v>29.0</v>
      </c>
      <c r="AN91" s="14">
        <v>30.0</v>
      </c>
      <c r="AO91" s="14">
        <v>31.0</v>
      </c>
    </row>
    <row r="92">
      <c r="A92" s="9">
        <v>91.0</v>
      </c>
      <c r="B92" s="15"/>
      <c r="C92" s="21">
        <v>8.0</v>
      </c>
      <c r="D92" s="12"/>
      <c r="E92" s="12"/>
      <c r="F92" s="12" t="str">
        <f t="shared" si="1"/>
        <v>Vacant</v>
      </c>
      <c r="G92" s="12"/>
      <c r="H92" s="13">
        <f t="shared" si="2"/>
        <v>0</v>
      </c>
      <c r="I92" s="12"/>
      <c r="J92" s="12"/>
      <c r="K92" s="12">
        <v>1.0</v>
      </c>
      <c r="L92" s="14">
        <v>2.0</v>
      </c>
      <c r="M92" s="14">
        <v>3.0</v>
      </c>
      <c r="N92" s="14">
        <v>4.0</v>
      </c>
      <c r="O92" s="14">
        <v>5.0</v>
      </c>
      <c r="P92" s="14">
        <v>6.0</v>
      </c>
      <c r="Q92" s="14">
        <v>7.0</v>
      </c>
      <c r="R92" s="14">
        <v>8.0</v>
      </c>
      <c r="S92" s="14">
        <v>9.0</v>
      </c>
      <c r="T92" s="14">
        <v>10.0</v>
      </c>
      <c r="U92" s="14">
        <v>11.0</v>
      </c>
      <c r="V92" s="14">
        <v>12.0</v>
      </c>
      <c r="W92" s="14">
        <v>13.0</v>
      </c>
      <c r="X92" s="14">
        <v>14.0</v>
      </c>
      <c r="Y92" s="14">
        <v>15.0</v>
      </c>
      <c r="Z92" s="14">
        <v>16.0</v>
      </c>
      <c r="AA92" s="14">
        <v>17.0</v>
      </c>
      <c r="AB92" s="14">
        <v>18.0</v>
      </c>
      <c r="AC92" s="14">
        <v>19.0</v>
      </c>
      <c r="AD92" s="14">
        <v>20.0</v>
      </c>
      <c r="AE92" s="14">
        <v>21.0</v>
      </c>
      <c r="AF92" s="14">
        <v>22.0</v>
      </c>
      <c r="AG92" s="14">
        <v>23.0</v>
      </c>
      <c r="AH92" s="14">
        <v>24.0</v>
      </c>
      <c r="AI92" s="14">
        <v>25.0</v>
      </c>
      <c r="AJ92" s="14">
        <v>26.0</v>
      </c>
      <c r="AK92" s="14">
        <v>27.0</v>
      </c>
      <c r="AL92" s="14">
        <v>28.0</v>
      </c>
      <c r="AM92" s="14">
        <v>29.0</v>
      </c>
      <c r="AN92" s="14">
        <v>30.0</v>
      </c>
      <c r="AO92" s="14">
        <v>31.0</v>
      </c>
    </row>
    <row r="93">
      <c r="A93" s="9">
        <v>92.0</v>
      </c>
      <c r="B93" s="15"/>
      <c r="C93" s="21">
        <v>9.0</v>
      </c>
      <c r="D93" s="12"/>
      <c r="E93" s="12"/>
      <c r="F93" s="12" t="str">
        <f t="shared" si="1"/>
        <v>Vacant</v>
      </c>
      <c r="G93" s="12"/>
      <c r="H93" s="13">
        <f t="shared" si="2"/>
        <v>0</v>
      </c>
      <c r="I93" s="12"/>
      <c r="J93" s="12"/>
      <c r="K93" s="12">
        <v>1.0</v>
      </c>
      <c r="L93" s="14">
        <v>2.0</v>
      </c>
      <c r="M93" s="14">
        <v>3.0</v>
      </c>
      <c r="N93" s="14">
        <v>4.0</v>
      </c>
      <c r="O93" s="14">
        <v>5.0</v>
      </c>
      <c r="P93" s="14">
        <v>6.0</v>
      </c>
      <c r="Q93" s="14">
        <v>7.0</v>
      </c>
      <c r="R93" s="14">
        <v>8.0</v>
      </c>
      <c r="S93" s="14">
        <v>9.0</v>
      </c>
      <c r="T93" s="14">
        <v>10.0</v>
      </c>
      <c r="U93" s="14">
        <v>11.0</v>
      </c>
      <c r="V93" s="14">
        <v>12.0</v>
      </c>
      <c r="W93" s="14">
        <v>13.0</v>
      </c>
      <c r="X93" s="14">
        <v>14.0</v>
      </c>
      <c r="Y93" s="14">
        <v>15.0</v>
      </c>
      <c r="Z93" s="14">
        <v>16.0</v>
      </c>
      <c r="AA93" s="14">
        <v>17.0</v>
      </c>
      <c r="AB93" s="14">
        <v>18.0</v>
      </c>
      <c r="AC93" s="14">
        <v>19.0</v>
      </c>
      <c r="AD93" s="14">
        <v>20.0</v>
      </c>
      <c r="AE93" s="14">
        <v>21.0</v>
      </c>
      <c r="AF93" s="14">
        <v>22.0</v>
      </c>
      <c r="AG93" s="14">
        <v>23.0</v>
      </c>
      <c r="AH93" s="14">
        <v>24.0</v>
      </c>
      <c r="AI93" s="14">
        <v>25.0</v>
      </c>
      <c r="AJ93" s="14">
        <v>26.0</v>
      </c>
      <c r="AK93" s="14">
        <v>27.0</v>
      </c>
      <c r="AL93" s="14">
        <v>28.0</v>
      </c>
      <c r="AM93" s="14">
        <v>29.0</v>
      </c>
      <c r="AN93" s="14">
        <v>30.0</v>
      </c>
      <c r="AO93" s="14">
        <v>31.0</v>
      </c>
    </row>
    <row r="94">
      <c r="A94" s="9">
        <v>93.0</v>
      </c>
      <c r="B94" s="15"/>
      <c r="C94" s="21">
        <v>10.0</v>
      </c>
      <c r="D94" s="12"/>
      <c r="E94" s="12"/>
      <c r="F94" s="12" t="str">
        <f t="shared" si="1"/>
        <v>Vacant</v>
      </c>
      <c r="G94" s="12"/>
      <c r="H94" s="13">
        <f t="shared" si="2"/>
        <v>0</v>
      </c>
      <c r="I94" s="12"/>
      <c r="J94" s="12"/>
      <c r="K94" s="12">
        <v>1.0</v>
      </c>
      <c r="L94" s="14">
        <v>2.0</v>
      </c>
      <c r="M94" s="14">
        <v>3.0</v>
      </c>
      <c r="N94" s="14">
        <v>4.0</v>
      </c>
      <c r="O94" s="14">
        <v>5.0</v>
      </c>
      <c r="P94" s="14">
        <v>6.0</v>
      </c>
      <c r="Q94" s="14">
        <v>7.0</v>
      </c>
      <c r="R94" s="14">
        <v>8.0</v>
      </c>
      <c r="S94" s="14">
        <v>9.0</v>
      </c>
      <c r="T94" s="14">
        <v>10.0</v>
      </c>
      <c r="U94" s="14">
        <v>11.0</v>
      </c>
      <c r="V94" s="14">
        <v>12.0</v>
      </c>
      <c r="W94" s="14">
        <v>13.0</v>
      </c>
      <c r="X94" s="14">
        <v>14.0</v>
      </c>
      <c r="Y94" s="14">
        <v>15.0</v>
      </c>
      <c r="Z94" s="14">
        <v>16.0</v>
      </c>
      <c r="AA94" s="14">
        <v>17.0</v>
      </c>
      <c r="AB94" s="14">
        <v>18.0</v>
      </c>
      <c r="AC94" s="14">
        <v>19.0</v>
      </c>
      <c r="AD94" s="14">
        <v>20.0</v>
      </c>
      <c r="AE94" s="14">
        <v>21.0</v>
      </c>
      <c r="AF94" s="14">
        <v>22.0</v>
      </c>
      <c r="AG94" s="14">
        <v>23.0</v>
      </c>
      <c r="AH94" s="14">
        <v>24.0</v>
      </c>
      <c r="AI94" s="14">
        <v>25.0</v>
      </c>
      <c r="AJ94" s="14">
        <v>26.0</v>
      </c>
      <c r="AK94" s="14">
        <v>27.0</v>
      </c>
      <c r="AL94" s="14">
        <v>28.0</v>
      </c>
      <c r="AM94" s="14">
        <v>29.0</v>
      </c>
      <c r="AN94" s="14">
        <v>30.0</v>
      </c>
      <c r="AO94" s="14">
        <v>31.0</v>
      </c>
    </row>
    <row r="95">
      <c r="A95" s="9">
        <v>94.0</v>
      </c>
      <c r="B95" s="17"/>
      <c r="C95" s="21">
        <v>11.0</v>
      </c>
      <c r="D95" s="12"/>
      <c r="E95" s="12"/>
      <c r="F95" s="12" t="str">
        <f t="shared" si="1"/>
        <v>Vacant</v>
      </c>
      <c r="G95" s="12"/>
      <c r="H95" s="13">
        <f t="shared" si="2"/>
        <v>0</v>
      </c>
      <c r="I95" s="12"/>
      <c r="J95" s="12"/>
      <c r="K95" s="12">
        <v>1.0</v>
      </c>
      <c r="L95" s="14">
        <v>2.0</v>
      </c>
      <c r="M95" s="14">
        <v>3.0</v>
      </c>
      <c r="N95" s="14">
        <v>4.0</v>
      </c>
      <c r="O95" s="14">
        <v>5.0</v>
      </c>
      <c r="P95" s="14">
        <v>6.0</v>
      </c>
      <c r="Q95" s="14">
        <v>7.0</v>
      </c>
      <c r="R95" s="14">
        <v>8.0</v>
      </c>
      <c r="S95" s="14">
        <v>9.0</v>
      </c>
      <c r="T95" s="14">
        <v>10.0</v>
      </c>
      <c r="U95" s="14">
        <v>11.0</v>
      </c>
      <c r="V95" s="14">
        <v>12.0</v>
      </c>
      <c r="W95" s="14">
        <v>13.0</v>
      </c>
      <c r="X95" s="14">
        <v>14.0</v>
      </c>
      <c r="Y95" s="14">
        <v>15.0</v>
      </c>
      <c r="Z95" s="14">
        <v>16.0</v>
      </c>
      <c r="AA95" s="14">
        <v>17.0</v>
      </c>
      <c r="AB95" s="14">
        <v>18.0</v>
      </c>
      <c r="AC95" s="14">
        <v>19.0</v>
      </c>
      <c r="AD95" s="14">
        <v>20.0</v>
      </c>
      <c r="AE95" s="14">
        <v>21.0</v>
      </c>
      <c r="AF95" s="14">
        <v>22.0</v>
      </c>
      <c r="AG95" s="14">
        <v>23.0</v>
      </c>
      <c r="AH95" s="14">
        <v>24.0</v>
      </c>
      <c r="AI95" s="14">
        <v>25.0</v>
      </c>
      <c r="AJ95" s="14">
        <v>26.0</v>
      </c>
      <c r="AK95" s="14">
        <v>27.0</v>
      </c>
      <c r="AL95" s="14">
        <v>28.0</v>
      </c>
      <c r="AM95" s="14">
        <v>29.0</v>
      </c>
      <c r="AN95" s="14">
        <v>30.0</v>
      </c>
      <c r="AO95" s="14">
        <v>31.0</v>
      </c>
    </row>
    <row r="96">
      <c r="A96" s="9">
        <v>95.0</v>
      </c>
      <c r="B96" s="18" t="s">
        <v>23</v>
      </c>
      <c r="C96" s="19">
        <v>1.0</v>
      </c>
      <c r="D96" s="12"/>
      <c r="E96" s="12"/>
      <c r="F96" s="12" t="str">
        <f t="shared" si="1"/>
        <v>Vacant</v>
      </c>
      <c r="G96" s="12"/>
      <c r="H96" s="13">
        <f t="shared" si="2"/>
        <v>0</v>
      </c>
      <c r="I96" s="12"/>
      <c r="J96" s="12"/>
      <c r="K96" s="12">
        <v>1.0</v>
      </c>
      <c r="L96" s="14">
        <v>2.0</v>
      </c>
      <c r="M96" s="14">
        <v>3.0</v>
      </c>
      <c r="N96" s="14">
        <v>4.0</v>
      </c>
      <c r="O96" s="14">
        <v>5.0</v>
      </c>
      <c r="P96" s="14">
        <v>6.0</v>
      </c>
      <c r="Q96" s="14">
        <v>7.0</v>
      </c>
      <c r="R96" s="14">
        <v>8.0</v>
      </c>
      <c r="S96" s="14">
        <v>9.0</v>
      </c>
      <c r="T96" s="14">
        <v>10.0</v>
      </c>
      <c r="U96" s="14">
        <v>11.0</v>
      </c>
      <c r="V96" s="14">
        <v>12.0</v>
      </c>
      <c r="W96" s="14">
        <v>13.0</v>
      </c>
      <c r="X96" s="14">
        <v>14.0</v>
      </c>
      <c r="Y96" s="14">
        <v>15.0</v>
      </c>
      <c r="Z96" s="14">
        <v>16.0</v>
      </c>
      <c r="AA96" s="14">
        <v>17.0</v>
      </c>
      <c r="AB96" s="14">
        <v>18.0</v>
      </c>
      <c r="AC96" s="14">
        <v>19.0</v>
      </c>
      <c r="AD96" s="14">
        <v>20.0</v>
      </c>
      <c r="AE96" s="14">
        <v>21.0</v>
      </c>
      <c r="AF96" s="14">
        <v>22.0</v>
      </c>
      <c r="AG96" s="14">
        <v>23.0</v>
      </c>
      <c r="AH96" s="14">
        <v>24.0</v>
      </c>
      <c r="AI96" s="14">
        <v>25.0</v>
      </c>
      <c r="AJ96" s="14">
        <v>26.0</v>
      </c>
      <c r="AK96" s="14">
        <v>27.0</v>
      </c>
      <c r="AL96" s="14">
        <v>28.0</v>
      </c>
      <c r="AM96" s="14">
        <v>29.0</v>
      </c>
      <c r="AN96" s="14">
        <v>30.0</v>
      </c>
      <c r="AO96" s="14">
        <v>31.0</v>
      </c>
    </row>
    <row r="97">
      <c r="A97" s="9">
        <v>96.0</v>
      </c>
      <c r="B97" s="15"/>
      <c r="C97" s="19">
        <v>2.0</v>
      </c>
      <c r="D97" s="12"/>
      <c r="E97" s="12"/>
      <c r="F97" s="12" t="str">
        <f t="shared" si="1"/>
        <v>Vacant</v>
      </c>
      <c r="G97" s="12"/>
      <c r="H97" s="13">
        <f t="shared" si="2"/>
        <v>0</v>
      </c>
      <c r="I97" s="12"/>
      <c r="J97" s="12"/>
      <c r="K97" s="12">
        <v>1.0</v>
      </c>
      <c r="L97" s="14">
        <v>2.0</v>
      </c>
      <c r="M97" s="14">
        <v>3.0</v>
      </c>
      <c r="N97" s="14">
        <v>4.0</v>
      </c>
      <c r="O97" s="14">
        <v>5.0</v>
      </c>
      <c r="P97" s="14">
        <v>6.0</v>
      </c>
      <c r="Q97" s="14">
        <v>7.0</v>
      </c>
      <c r="R97" s="14">
        <v>8.0</v>
      </c>
      <c r="S97" s="14">
        <v>9.0</v>
      </c>
      <c r="T97" s="14">
        <v>10.0</v>
      </c>
      <c r="U97" s="14">
        <v>11.0</v>
      </c>
      <c r="V97" s="14">
        <v>12.0</v>
      </c>
      <c r="W97" s="14">
        <v>13.0</v>
      </c>
      <c r="X97" s="14">
        <v>14.0</v>
      </c>
      <c r="Y97" s="14">
        <v>15.0</v>
      </c>
      <c r="Z97" s="14">
        <v>16.0</v>
      </c>
      <c r="AA97" s="14">
        <v>17.0</v>
      </c>
      <c r="AB97" s="14">
        <v>18.0</v>
      </c>
      <c r="AC97" s="14">
        <v>19.0</v>
      </c>
      <c r="AD97" s="14">
        <v>20.0</v>
      </c>
      <c r="AE97" s="14">
        <v>21.0</v>
      </c>
      <c r="AF97" s="14">
        <v>22.0</v>
      </c>
      <c r="AG97" s="14">
        <v>23.0</v>
      </c>
      <c r="AH97" s="14">
        <v>24.0</v>
      </c>
      <c r="AI97" s="14">
        <v>25.0</v>
      </c>
      <c r="AJ97" s="14">
        <v>26.0</v>
      </c>
      <c r="AK97" s="14">
        <v>27.0</v>
      </c>
      <c r="AL97" s="14">
        <v>28.0</v>
      </c>
      <c r="AM97" s="14">
        <v>29.0</v>
      </c>
      <c r="AN97" s="14">
        <v>30.0</v>
      </c>
      <c r="AO97" s="14">
        <v>31.0</v>
      </c>
    </row>
    <row r="98">
      <c r="A98" s="9">
        <v>97.0</v>
      </c>
      <c r="B98" s="15"/>
      <c r="C98" s="19">
        <v>3.0</v>
      </c>
      <c r="D98" s="12"/>
      <c r="E98" s="12"/>
      <c r="F98" s="12" t="str">
        <f t="shared" si="1"/>
        <v>Vacant</v>
      </c>
      <c r="G98" s="12"/>
      <c r="H98" s="13">
        <f t="shared" si="2"/>
        <v>0</v>
      </c>
      <c r="I98" s="12"/>
      <c r="J98" s="12"/>
      <c r="K98" s="12">
        <v>1.0</v>
      </c>
      <c r="L98" s="14">
        <v>2.0</v>
      </c>
      <c r="M98" s="14">
        <v>3.0</v>
      </c>
      <c r="N98" s="14">
        <v>4.0</v>
      </c>
      <c r="O98" s="14">
        <v>5.0</v>
      </c>
      <c r="P98" s="14">
        <v>6.0</v>
      </c>
      <c r="Q98" s="14">
        <v>7.0</v>
      </c>
      <c r="R98" s="14">
        <v>8.0</v>
      </c>
      <c r="S98" s="14">
        <v>9.0</v>
      </c>
      <c r="T98" s="14">
        <v>10.0</v>
      </c>
      <c r="U98" s="14">
        <v>11.0</v>
      </c>
      <c r="V98" s="14">
        <v>12.0</v>
      </c>
      <c r="W98" s="14">
        <v>13.0</v>
      </c>
      <c r="X98" s="14">
        <v>14.0</v>
      </c>
      <c r="Y98" s="14">
        <v>15.0</v>
      </c>
      <c r="Z98" s="14">
        <v>16.0</v>
      </c>
      <c r="AA98" s="14">
        <v>17.0</v>
      </c>
      <c r="AB98" s="14">
        <v>18.0</v>
      </c>
      <c r="AC98" s="14">
        <v>19.0</v>
      </c>
      <c r="AD98" s="14">
        <v>20.0</v>
      </c>
      <c r="AE98" s="14">
        <v>21.0</v>
      </c>
      <c r="AF98" s="14">
        <v>22.0</v>
      </c>
      <c r="AG98" s="14">
        <v>23.0</v>
      </c>
      <c r="AH98" s="14">
        <v>24.0</v>
      </c>
      <c r="AI98" s="14">
        <v>25.0</v>
      </c>
      <c r="AJ98" s="14">
        <v>26.0</v>
      </c>
      <c r="AK98" s="14">
        <v>27.0</v>
      </c>
      <c r="AL98" s="14">
        <v>28.0</v>
      </c>
      <c r="AM98" s="14">
        <v>29.0</v>
      </c>
      <c r="AN98" s="14">
        <v>30.0</v>
      </c>
      <c r="AO98" s="14">
        <v>31.0</v>
      </c>
    </row>
    <row r="99">
      <c r="A99" s="9">
        <v>98.0</v>
      </c>
      <c r="B99" s="15"/>
      <c r="C99" s="19">
        <v>4.0</v>
      </c>
      <c r="D99" s="12"/>
      <c r="E99" s="12"/>
      <c r="F99" s="12" t="str">
        <f t="shared" si="1"/>
        <v>Vacant</v>
      </c>
      <c r="G99" s="12"/>
      <c r="H99" s="13">
        <f t="shared" si="2"/>
        <v>0</v>
      </c>
      <c r="I99" s="12"/>
      <c r="J99" s="12"/>
      <c r="K99" s="12">
        <v>1.0</v>
      </c>
      <c r="L99" s="14">
        <v>2.0</v>
      </c>
      <c r="M99" s="14">
        <v>3.0</v>
      </c>
      <c r="N99" s="14">
        <v>4.0</v>
      </c>
      <c r="O99" s="14">
        <v>5.0</v>
      </c>
      <c r="P99" s="14">
        <v>6.0</v>
      </c>
      <c r="Q99" s="14">
        <v>7.0</v>
      </c>
      <c r="R99" s="14">
        <v>8.0</v>
      </c>
      <c r="S99" s="14">
        <v>9.0</v>
      </c>
      <c r="T99" s="14">
        <v>10.0</v>
      </c>
      <c r="U99" s="14">
        <v>11.0</v>
      </c>
      <c r="V99" s="14">
        <v>12.0</v>
      </c>
      <c r="W99" s="14">
        <v>13.0</v>
      </c>
      <c r="X99" s="14">
        <v>14.0</v>
      </c>
      <c r="Y99" s="14">
        <v>15.0</v>
      </c>
      <c r="Z99" s="14">
        <v>16.0</v>
      </c>
      <c r="AA99" s="14">
        <v>17.0</v>
      </c>
      <c r="AB99" s="14">
        <v>18.0</v>
      </c>
      <c r="AC99" s="14">
        <v>19.0</v>
      </c>
      <c r="AD99" s="14">
        <v>20.0</v>
      </c>
      <c r="AE99" s="14">
        <v>21.0</v>
      </c>
      <c r="AF99" s="14">
        <v>22.0</v>
      </c>
      <c r="AG99" s="14">
        <v>23.0</v>
      </c>
      <c r="AH99" s="14">
        <v>24.0</v>
      </c>
      <c r="AI99" s="14">
        <v>25.0</v>
      </c>
      <c r="AJ99" s="14">
        <v>26.0</v>
      </c>
      <c r="AK99" s="14">
        <v>27.0</v>
      </c>
      <c r="AL99" s="14">
        <v>28.0</v>
      </c>
      <c r="AM99" s="14">
        <v>29.0</v>
      </c>
      <c r="AN99" s="14">
        <v>30.0</v>
      </c>
      <c r="AO99" s="14">
        <v>31.0</v>
      </c>
    </row>
    <row r="100">
      <c r="A100" s="9">
        <v>99.0</v>
      </c>
      <c r="B100" s="15"/>
      <c r="C100" s="19">
        <v>5.0</v>
      </c>
      <c r="D100" s="12"/>
      <c r="E100" s="12"/>
      <c r="F100" s="12" t="str">
        <f t="shared" si="1"/>
        <v>Vacant</v>
      </c>
      <c r="G100" s="12"/>
      <c r="H100" s="13">
        <f t="shared" si="2"/>
        <v>0</v>
      </c>
      <c r="I100" s="12"/>
      <c r="J100" s="12"/>
      <c r="K100" s="12">
        <v>1.0</v>
      </c>
      <c r="L100" s="14">
        <v>2.0</v>
      </c>
      <c r="M100" s="14">
        <v>3.0</v>
      </c>
      <c r="N100" s="14">
        <v>4.0</v>
      </c>
      <c r="O100" s="14">
        <v>5.0</v>
      </c>
      <c r="P100" s="14">
        <v>6.0</v>
      </c>
      <c r="Q100" s="14">
        <v>7.0</v>
      </c>
      <c r="R100" s="14">
        <v>8.0</v>
      </c>
      <c r="S100" s="14">
        <v>9.0</v>
      </c>
      <c r="T100" s="14">
        <v>10.0</v>
      </c>
      <c r="U100" s="14">
        <v>11.0</v>
      </c>
      <c r="V100" s="14">
        <v>12.0</v>
      </c>
      <c r="W100" s="14">
        <v>13.0</v>
      </c>
      <c r="X100" s="14">
        <v>14.0</v>
      </c>
      <c r="Y100" s="14">
        <v>15.0</v>
      </c>
      <c r="Z100" s="14">
        <v>16.0</v>
      </c>
      <c r="AA100" s="14">
        <v>17.0</v>
      </c>
      <c r="AB100" s="14">
        <v>18.0</v>
      </c>
      <c r="AC100" s="14">
        <v>19.0</v>
      </c>
      <c r="AD100" s="14">
        <v>20.0</v>
      </c>
      <c r="AE100" s="14">
        <v>21.0</v>
      </c>
      <c r="AF100" s="14">
        <v>22.0</v>
      </c>
      <c r="AG100" s="14">
        <v>23.0</v>
      </c>
      <c r="AH100" s="14">
        <v>24.0</v>
      </c>
      <c r="AI100" s="14">
        <v>25.0</v>
      </c>
      <c r="AJ100" s="14">
        <v>26.0</v>
      </c>
      <c r="AK100" s="14">
        <v>27.0</v>
      </c>
      <c r="AL100" s="14">
        <v>28.0</v>
      </c>
      <c r="AM100" s="14">
        <v>29.0</v>
      </c>
      <c r="AN100" s="14">
        <v>30.0</v>
      </c>
      <c r="AO100" s="14">
        <v>31.0</v>
      </c>
    </row>
    <row r="101">
      <c r="A101" s="9">
        <v>100.0</v>
      </c>
      <c r="B101" s="17"/>
      <c r="C101" s="19">
        <v>6.0</v>
      </c>
      <c r="D101" s="12"/>
      <c r="E101" s="12"/>
      <c r="F101" s="12" t="str">
        <f t="shared" si="1"/>
        <v>Vacant</v>
      </c>
      <c r="G101" s="12"/>
      <c r="H101" s="13">
        <f t="shared" si="2"/>
        <v>0</v>
      </c>
      <c r="I101" s="12"/>
      <c r="J101" s="12"/>
      <c r="K101" s="12">
        <v>1.0</v>
      </c>
      <c r="L101" s="14">
        <v>2.0</v>
      </c>
      <c r="M101" s="14">
        <v>3.0</v>
      </c>
      <c r="N101" s="14">
        <v>4.0</v>
      </c>
      <c r="O101" s="14">
        <v>5.0</v>
      </c>
      <c r="P101" s="14">
        <v>6.0</v>
      </c>
      <c r="Q101" s="14">
        <v>7.0</v>
      </c>
      <c r="R101" s="14">
        <v>8.0</v>
      </c>
      <c r="S101" s="14">
        <v>9.0</v>
      </c>
      <c r="T101" s="14">
        <v>10.0</v>
      </c>
      <c r="U101" s="14">
        <v>11.0</v>
      </c>
      <c r="V101" s="14">
        <v>12.0</v>
      </c>
      <c r="W101" s="14">
        <v>13.0</v>
      </c>
      <c r="X101" s="14">
        <v>14.0</v>
      </c>
      <c r="Y101" s="14">
        <v>15.0</v>
      </c>
      <c r="Z101" s="14">
        <v>16.0</v>
      </c>
      <c r="AA101" s="14">
        <v>17.0</v>
      </c>
      <c r="AB101" s="14">
        <v>18.0</v>
      </c>
      <c r="AC101" s="14">
        <v>19.0</v>
      </c>
      <c r="AD101" s="14">
        <v>20.0</v>
      </c>
      <c r="AE101" s="14">
        <v>21.0</v>
      </c>
      <c r="AF101" s="14">
        <v>22.0</v>
      </c>
      <c r="AG101" s="14">
        <v>23.0</v>
      </c>
      <c r="AH101" s="14">
        <v>24.0</v>
      </c>
      <c r="AI101" s="14">
        <v>25.0</v>
      </c>
      <c r="AJ101" s="14">
        <v>26.0</v>
      </c>
      <c r="AK101" s="14">
        <v>27.0</v>
      </c>
      <c r="AL101" s="14">
        <v>28.0</v>
      </c>
      <c r="AM101" s="14">
        <v>29.0</v>
      </c>
      <c r="AN101" s="14">
        <v>30.0</v>
      </c>
      <c r="AO101" s="14">
        <v>31.0</v>
      </c>
    </row>
    <row r="102">
      <c r="A102" s="9">
        <v>101.0</v>
      </c>
      <c r="B102" s="20" t="s">
        <v>24</v>
      </c>
      <c r="C102" s="21">
        <v>1.0</v>
      </c>
      <c r="D102" s="12"/>
      <c r="E102" s="12"/>
      <c r="F102" s="12" t="str">
        <f t="shared" si="1"/>
        <v>Vacant</v>
      </c>
      <c r="G102" s="12"/>
      <c r="H102" s="13">
        <f t="shared" si="2"/>
        <v>0</v>
      </c>
      <c r="I102" s="12"/>
      <c r="J102" s="12"/>
      <c r="K102" s="12">
        <v>1.0</v>
      </c>
      <c r="L102" s="14">
        <v>2.0</v>
      </c>
      <c r="M102" s="14">
        <v>3.0</v>
      </c>
      <c r="N102" s="14">
        <v>4.0</v>
      </c>
      <c r="O102" s="14">
        <v>5.0</v>
      </c>
      <c r="P102" s="14">
        <v>6.0</v>
      </c>
      <c r="Q102" s="14">
        <v>7.0</v>
      </c>
      <c r="R102" s="14">
        <v>8.0</v>
      </c>
      <c r="S102" s="14">
        <v>9.0</v>
      </c>
      <c r="T102" s="14">
        <v>10.0</v>
      </c>
      <c r="U102" s="14">
        <v>11.0</v>
      </c>
      <c r="V102" s="14">
        <v>12.0</v>
      </c>
      <c r="W102" s="14">
        <v>13.0</v>
      </c>
      <c r="X102" s="14">
        <v>14.0</v>
      </c>
      <c r="Y102" s="14">
        <v>15.0</v>
      </c>
      <c r="Z102" s="14">
        <v>16.0</v>
      </c>
      <c r="AA102" s="14">
        <v>17.0</v>
      </c>
      <c r="AB102" s="14">
        <v>18.0</v>
      </c>
      <c r="AC102" s="14">
        <v>19.0</v>
      </c>
      <c r="AD102" s="14">
        <v>20.0</v>
      </c>
      <c r="AE102" s="14">
        <v>21.0</v>
      </c>
      <c r="AF102" s="14">
        <v>22.0</v>
      </c>
      <c r="AG102" s="14">
        <v>23.0</v>
      </c>
      <c r="AH102" s="14">
        <v>24.0</v>
      </c>
      <c r="AI102" s="14">
        <v>25.0</v>
      </c>
      <c r="AJ102" s="14">
        <v>26.0</v>
      </c>
      <c r="AK102" s="14">
        <v>27.0</v>
      </c>
      <c r="AL102" s="14">
        <v>28.0</v>
      </c>
      <c r="AM102" s="14">
        <v>29.0</v>
      </c>
      <c r="AN102" s="14">
        <v>30.0</v>
      </c>
      <c r="AO102" s="14">
        <v>31.0</v>
      </c>
    </row>
    <row r="103">
      <c r="A103" s="9">
        <v>102.0</v>
      </c>
      <c r="B103" s="15"/>
      <c r="C103" s="21">
        <v>2.0</v>
      </c>
      <c r="D103" s="12"/>
      <c r="E103" s="12"/>
      <c r="F103" s="12" t="str">
        <f t="shared" si="1"/>
        <v>Vacant</v>
      </c>
      <c r="G103" s="12"/>
      <c r="H103" s="13">
        <f t="shared" si="2"/>
        <v>0</v>
      </c>
      <c r="I103" s="12"/>
      <c r="J103" s="12"/>
      <c r="K103" s="12">
        <v>1.0</v>
      </c>
      <c r="L103" s="14">
        <v>2.0</v>
      </c>
      <c r="M103" s="14">
        <v>3.0</v>
      </c>
      <c r="N103" s="14">
        <v>4.0</v>
      </c>
      <c r="O103" s="14">
        <v>5.0</v>
      </c>
      <c r="P103" s="14">
        <v>6.0</v>
      </c>
      <c r="Q103" s="14">
        <v>7.0</v>
      </c>
      <c r="R103" s="14">
        <v>8.0</v>
      </c>
      <c r="S103" s="14">
        <v>9.0</v>
      </c>
      <c r="T103" s="14">
        <v>10.0</v>
      </c>
      <c r="U103" s="14">
        <v>11.0</v>
      </c>
      <c r="V103" s="14">
        <v>12.0</v>
      </c>
      <c r="W103" s="14">
        <v>13.0</v>
      </c>
      <c r="X103" s="14">
        <v>14.0</v>
      </c>
      <c r="Y103" s="14">
        <v>15.0</v>
      </c>
      <c r="Z103" s="14">
        <v>16.0</v>
      </c>
      <c r="AA103" s="14">
        <v>17.0</v>
      </c>
      <c r="AB103" s="14">
        <v>18.0</v>
      </c>
      <c r="AC103" s="14">
        <v>19.0</v>
      </c>
      <c r="AD103" s="14">
        <v>20.0</v>
      </c>
      <c r="AE103" s="14">
        <v>21.0</v>
      </c>
      <c r="AF103" s="14">
        <v>22.0</v>
      </c>
      <c r="AG103" s="14">
        <v>23.0</v>
      </c>
      <c r="AH103" s="14">
        <v>24.0</v>
      </c>
      <c r="AI103" s="14">
        <v>25.0</v>
      </c>
      <c r="AJ103" s="14">
        <v>26.0</v>
      </c>
      <c r="AK103" s="14">
        <v>27.0</v>
      </c>
      <c r="AL103" s="14">
        <v>28.0</v>
      </c>
      <c r="AM103" s="14">
        <v>29.0</v>
      </c>
      <c r="AN103" s="14">
        <v>30.0</v>
      </c>
      <c r="AO103" s="14">
        <v>31.0</v>
      </c>
    </row>
    <row r="104">
      <c r="A104" s="9">
        <v>103.0</v>
      </c>
      <c r="B104" s="15"/>
      <c r="C104" s="21">
        <v>3.0</v>
      </c>
      <c r="D104" s="12"/>
      <c r="E104" s="12"/>
      <c r="F104" s="12" t="str">
        <f t="shared" si="1"/>
        <v>Vacant</v>
      </c>
      <c r="G104" s="12"/>
      <c r="H104" s="13">
        <f t="shared" si="2"/>
        <v>0</v>
      </c>
      <c r="I104" s="12"/>
      <c r="J104" s="12"/>
      <c r="K104" s="12">
        <v>1.0</v>
      </c>
      <c r="L104" s="14">
        <v>2.0</v>
      </c>
      <c r="M104" s="14">
        <v>3.0</v>
      </c>
      <c r="N104" s="14">
        <v>4.0</v>
      </c>
      <c r="O104" s="14">
        <v>5.0</v>
      </c>
      <c r="P104" s="14">
        <v>6.0</v>
      </c>
      <c r="Q104" s="14">
        <v>7.0</v>
      </c>
      <c r="R104" s="14">
        <v>8.0</v>
      </c>
      <c r="S104" s="14">
        <v>9.0</v>
      </c>
      <c r="T104" s="14">
        <v>10.0</v>
      </c>
      <c r="U104" s="14">
        <v>11.0</v>
      </c>
      <c r="V104" s="14">
        <v>12.0</v>
      </c>
      <c r="W104" s="14">
        <v>13.0</v>
      </c>
      <c r="X104" s="14">
        <v>14.0</v>
      </c>
      <c r="Y104" s="14">
        <v>15.0</v>
      </c>
      <c r="Z104" s="14">
        <v>16.0</v>
      </c>
      <c r="AA104" s="14">
        <v>17.0</v>
      </c>
      <c r="AB104" s="14">
        <v>18.0</v>
      </c>
      <c r="AC104" s="14">
        <v>19.0</v>
      </c>
      <c r="AD104" s="14">
        <v>20.0</v>
      </c>
      <c r="AE104" s="14">
        <v>21.0</v>
      </c>
      <c r="AF104" s="14">
        <v>22.0</v>
      </c>
      <c r="AG104" s="14">
        <v>23.0</v>
      </c>
      <c r="AH104" s="14">
        <v>24.0</v>
      </c>
      <c r="AI104" s="14">
        <v>25.0</v>
      </c>
      <c r="AJ104" s="14">
        <v>26.0</v>
      </c>
      <c r="AK104" s="14">
        <v>27.0</v>
      </c>
      <c r="AL104" s="14">
        <v>28.0</v>
      </c>
      <c r="AM104" s="14">
        <v>29.0</v>
      </c>
      <c r="AN104" s="14">
        <v>30.0</v>
      </c>
      <c r="AO104" s="14">
        <v>31.0</v>
      </c>
    </row>
    <row r="105">
      <c r="A105" s="9">
        <v>104.0</v>
      </c>
      <c r="B105" s="15"/>
      <c r="C105" s="21">
        <v>4.0</v>
      </c>
      <c r="D105" s="12"/>
      <c r="E105" s="12"/>
      <c r="F105" s="12" t="str">
        <f t="shared" si="1"/>
        <v>Vacant</v>
      </c>
      <c r="G105" s="12"/>
      <c r="H105" s="13">
        <f t="shared" si="2"/>
        <v>0</v>
      </c>
      <c r="I105" s="12"/>
      <c r="J105" s="12"/>
      <c r="K105" s="12">
        <v>1.0</v>
      </c>
      <c r="L105" s="14">
        <v>2.0</v>
      </c>
      <c r="M105" s="14">
        <v>3.0</v>
      </c>
      <c r="N105" s="14">
        <v>4.0</v>
      </c>
      <c r="O105" s="14">
        <v>5.0</v>
      </c>
      <c r="P105" s="14">
        <v>6.0</v>
      </c>
      <c r="Q105" s="14">
        <v>7.0</v>
      </c>
      <c r="R105" s="14">
        <v>8.0</v>
      </c>
      <c r="S105" s="14">
        <v>9.0</v>
      </c>
      <c r="T105" s="14">
        <v>10.0</v>
      </c>
      <c r="U105" s="14">
        <v>11.0</v>
      </c>
      <c r="V105" s="14">
        <v>12.0</v>
      </c>
      <c r="W105" s="14">
        <v>13.0</v>
      </c>
      <c r="X105" s="14">
        <v>14.0</v>
      </c>
      <c r="Y105" s="14">
        <v>15.0</v>
      </c>
      <c r="Z105" s="14">
        <v>16.0</v>
      </c>
      <c r="AA105" s="14">
        <v>17.0</v>
      </c>
      <c r="AB105" s="14">
        <v>18.0</v>
      </c>
      <c r="AC105" s="14">
        <v>19.0</v>
      </c>
      <c r="AD105" s="14">
        <v>20.0</v>
      </c>
      <c r="AE105" s="14">
        <v>21.0</v>
      </c>
      <c r="AF105" s="14">
        <v>22.0</v>
      </c>
      <c r="AG105" s="14">
        <v>23.0</v>
      </c>
      <c r="AH105" s="14">
        <v>24.0</v>
      </c>
      <c r="AI105" s="14">
        <v>25.0</v>
      </c>
      <c r="AJ105" s="14">
        <v>26.0</v>
      </c>
      <c r="AK105" s="14">
        <v>27.0</v>
      </c>
      <c r="AL105" s="14">
        <v>28.0</v>
      </c>
      <c r="AM105" s="14">
        <v>29.0</v>
      </c>
      <c r="AN105" s="14">
        <v>30.0</v>
      </c>
      <c r="AO105" s="14">
        <v>31.0</v>
      </c>
    </row>
    <row r="106">
      <c r="A106" s="9">
        <v>105.0</v>
      </c>
      <c r="B106" s="15"/>
      <c r="C106" s="21">
        <v>5.0</v>
      </c>
      <c r="D106" s="12"/>
      <c r="E106" s="12"/>
      <c r="F106" s="12" t="str">
        <f t="shared" si="1"/>
        <v>Vacant</v>
      </c>
      <c r="G106" s="12"/>
      <c r="H106" s="13">
        <f t="shared" si="2"/>
        <v>0</v>
      </c>
      <c r="I106" s="12"/>
      <c r="J106" s="12"/>
      <c r="K106" s="12">
        <v>1.0</v>
      </c>
      <c r="L106" s="14">
        <v>2.0</v>
      </c>
      <c r="M106" s="14">
        <v>3.0</v>
      </c>
      <c r="N106" s="14">
        <v>4.0</v>
      </c>
      <c r="O106" s="14">
        <v>5.0</v>
      </c>
      <c r="P106" s="14">
        <v>6.0</v>
      </c>
      <c r="Q106" s="14">
        <v>7.0</v>
      </c>
      <c r="R106" s="14">
        <v>8.0</v>
      </c>
      <c r="S106" s="14">
        <v>9.0</v>
      </c>
      <c r="T106" s="14">
        <v>10.0</v>
      </c>
      <c r="U106" s="14">
        <v>11.0</v>
      </c>
      <c r="V106" s="14">
        <v>12.0</v>
      </c>
      <c r="W106" s="14">
        <v>13.0</v>
      </c>
      <c r="X106" s="14">
        <v>14.0</v>
      </c>
      <c r="Y106" s="14">
        <v>15.0</v>
      </c>
      <c r="Z106" s="14">
        <v>16.0</v>
      </c>
      <c r="AA106" s="14">
        <v>17.0</v>
      </c>
      <c r="AB106" s="14">
        <v>18.0</v>
      </c>
      <c r="AC106" s="14">
        <v>19.0</v>
      </c>
      <c r="AD106" s="14">
        <v>20.0</v>
      </c>
      <c r="AE106" s="14">
        <v>21.0</v>
      </c>
      <c r="AF106" s="14">
        <v>22.0</v>
      </c>
      <c r="AG106" s="14">
        <v>23.0</v>
      </c>
      <c r="AH106" s="14">
        <v>24.0</v>
      </c>
      <c r="AI106" s="14">
        <v>25.0</v>
      </c>
      <c r="AJ106" s="14">
        <v>26.0</v>
      </c>
      <c r="AK106" s="14">
        <v>27.0</v>
      </c>
      <c r="AL106" s="14">
        <v>28.0</v>
      </c>
      <c r="AM106" s="14">
        <v>29.0</v>
      </c>
      <c r="AN106" s="14">
        <v>30.0</v>
      </c>
      <c r="AO106" s="14">
        <v>31.0</v>
      </c>
    </row>
    <row r="107">
      <c r="A107" s="9">
        <v>106.0</v>
      </c>
      <c r="B107" s="17"/>
      <c r="C107" s="21">
        <v>6.0</v>
      </c>
      <c r="D107" s="12"/>
      <c r="E107" s="12"/>
      <c r="F107" s="12" t="str">
        <f t="shared" si="1"/>
        <v>Vacant</v>
      </c>
      <c r="G107" s="12"/>
      <c r="H107" s="13">
        <f t="shared" si="2"/>
        <v>0</v>
      </c>
      <c r="I107" s="12"/>
      <c r="J107" s="12"/>
      <c r="K107" s="12">
        <v>1.0</v>
      </c>
      <c r="L107" s="14">
        <v>2.0</v>
      </c>
      <c r="M107" s="14">
        <v>3.0</v>
      </c>
      <c r="N107" s="14">
        <v>4.0</v>
      </c>
      <c r="O107" s="14">
        <v>5.0</v>
      </c>
      <c r="P107" s="14">
        <v>6.0</v>
      </c>
      <c r="Q107" s="14">
        <v>7.0</v>
      </c>
      <c r="R107" s="14">
        <v>8.0</v>
      </c>
      <c r="S107" s="14">
        <v>9.0</v>
      </c>
      <c r="T107" s="14">
        <v>10.0</v>
      </c>
      <c r="U107" s="14">
        <v>11.0</v>
      </c>
      <c r="V107" s="14">
        <v>12.0</v>
      </c>
      <c r="W107" s="14">
        <v>13.0</v>
      </c>
      <c r="X107" s="14">
        <v>14.0</v>
      </c>
      <c r="Y107" s="14">
        <v>15.0</v>
      </c>
      <c r="Z107" s="14">
        <v>16.0</v>
      </c>
      <c r="AA107" s="14">
        <v>17.0</v>
      </c>
      <c r="AB107" s="14">
        <v>18.0</v>
      </c>
      <c r="AC107" s="14">
        <v>19.0</v>
      </c>
      <c r="AD107" s="14">
        <v>20.0</v>
      </c>
      <c r="AE107" s="14">
        <v>21.0</v>
      </c>
      <c r="AF107" s="14">
        <v>22.0</v>
      </c>
      <c r="AG107" s="14">
        <v>23.0</v>
      </c>
      <c r="AH107" s="14">
        <v>24.0</v>
      </c>
      <c r="AI107" s="14">
        <v>25.0</v>
      </c>
      <c r="AJ107" s="14">
        <v>26.0</v>
      </c>
      <c r="AK107" s="14">
        <v>27.0</v>
      </c>
      <c r="AL107" s="14">
        <v>28.0</v>
      </c>
      <c r="AM107" s="14">
        <v>29.0</v>
      </c>
      <c r="AN107" s="14">
        <v>30.0</v>
      </c>
      <c r="AO107" s="14">
        <v>31.0</v>
      </c>
    </row>
    <row r="108">
      <c r="A108" s="9">
        <v>107.0</v>
      </c>
      <c r="B108" s="20" t="s">
        <v>25</v>
      </c>
      <c r="C108" s="21">
        <v>1.0</v>
      </c>
      <c r="D108" s="12"/>
      <c r="E108" s="12"/>
      <c r="F108" s="12" t="str">
        <f t="shared" si="1"/>
        <v>Vacant</v>
      </c>
      <c r="G108" s="12"/>
      <c r="H108" s="13">
        <f t="shared" si="2"/>
        <v>0</v>
      </c>
      <c r="I108" s="12"/>
      <c r="J108" s="12"/>
      <c r="K108" s="12">
        <v>1.0</v>
      </c>
      <c r="L108" s="14">
        <v>2.0</v>
      </c>
      <c r="M108" s="14">
        <v>3.0</v>
      </c>
      <c r="N108" s="14">
        <v>4.0</v>
      </c>
      <c r="O108" s="14">
        <v>5.0</v>
      </c>
      <c r="P108" s="14">
        <v>6.0</v>
      </c>
      <c r="Q108" s="14">
        <v>7.0</v>
      </c>
      <c r="R108" s="14">
        <v>8.0</v>
      </c>
      <c r="S108" s="14">
        <v>9.0</v>
      </c>
      <c r="T108" s="14">
        <v>10.0</v>
      </c>
      <c r="U108" s="14">
        <v>11.0</v>
      </c>
      <c r="V108" s="14">
        <v>12.0</v>
      </c>
      <c r="W108" s="14">
        <v>13.0</v>
      </c>
      <c r="X108" s="14">
        <v>14.0</v>
      </c>
      <c r="Y108" s="14">
        <v>15.0</v>
      </c>
      <c r="Z108" s="14">
        <v>16.0</v>
      </c>
      <c r="AA108" s="14">
        <v>17.0</v>
      </c>
      <c r="AB108" s="14">
        <v>18.0</v>
      </c>
      <c r="AC108" s="14">
        <v>19.0</v>
      </c>
      <c r="AD108" s="14">
        <v>20.0</v>
      </c>
      <c r="AE108" s="14">
        <v>21.0</v>
      </c>
      <c r="AF108" s="14">
        <v>22.0</v>
      </c>
      <c r="AG108" s="14">
        <v>23.0</v>
      </c>
      <c r="AH108" s="14">
        <v>24.0</v>
      </c>
      <c r="AI108" s="14">
        <v>25.0</v>
      </c>
      <c r="AJ108" s="14">
        <v>26.0</v>
      </c>
      <c r="AK108" s="14">
        <v>27.0</v>
      </c>
      <c r="AL108" s="14">
        <v>28.0</v>
      </c>
      <c r="AM108" s="14">
        <v>29.0</v>
      </c>
      <c r="AN108" s="14">
        <v>30.0</v>
      </c>
      <c r="AO108" s="14">
        <v>31.0</v>
      </c>
    </row>
    <row r="109">
      <c r="A109" s="9">
        <v>108.0</v>
      </c>
      <c r="B109" s="15"/>
      <c r="C109" s="21">
        <v>2.0</v>
      </c>
      <c r="D109" s="12"/>
      <c r="E109" s="12"/>
      <c r="F109" s="12" t="str">
        <f t="shared" si="1"/>
        <v>Vacant</v>
      </c>
      <c r="G109" s="12"/>
      <c r="H109" s="13">
        <f t="shared" si="2"/>
        <v>0</v>
      </c>
      <c r="I109" s="12"/>
      <c r="J109" s="12"/>
      <c r="K109" s="12">
        <v>1.0</v>
      </c>
      <c r="L109" s="14">
        <v>2.0</v>
      </c>
      <c r="M109" s="14">
        <v>3.0</v>
      </c>
      <c r="N109" s="14">
        <v>4.0</v>
      </c>
      <c r="O109" s="14">
        <v>5.0</v>
      </c>
      <c r="P109" s="14">
        <v>6.0</v>
      </c>
      <c r="Q109" s="14">
        <v>7.0</v>
      </c>
      <c r="R109" s="14">
        <v>8.0</v>
      </c>
      <c r="S109" s="14">
        <v>9.0</v>
      </c>
      <c r="T109" s="14">
        <v>10.0</v>
      </c>
      <c r="U109" s="14">
        <v>11.0</v>
      </c>
      <c r="V109" s="14">
        <v>12.0</v>
      </c>
      <c r="W109" s="14">
        <v>13.0</v>
      </c>
      <c r="X109" s="14">
        <v>14.0</v>
      </c>
      <c r="Y109" s="14">
        <v>15.0</v>
      </c>
      <c r="Z109" s="14">
        <v>16.0</v>
      </c>
      <c r="AA109" s="14">
        <v>17.0</v>
      </c>
      <c r="AB109" s="14">
        <v>18.0</v>
      </c>
      <c r="AC109" s="14">
        <v>19.0</v>
      </c>
      <c r="AD109" s="14">
        <v>20.0</v>
      </c>
      <c r="AE109" s="14">
        <v>21.0</v>
      </c>
      <c r="AF109" s="14">
        <v>22.0</v>
      </c>
      <c r="AG109" s="14">
        <v>23.0</v>
      </c>
      <c r="AH109" s="14">
        <v>24.0</v>
      </c>
      <c r="AI109" s="14">
        <v>25.0</v>
      </c>
      <c r="AJ109" s="14">
        <v>26.0</v>
      </c>
      <c r="AK109" s="14">
        <v>27.0</v>
      </c>
      <c r="AL109" s="14">
        <v>28.0</v>
      </c>
      <c r="AM109" s="14">
        <v>29.0</v>
      </c>
      <c r="AN109" s="14">
        <v>30.0</v>
      </c>
      <c r="AO109" s="14">
        <v>31.0</v>
      </c>
    </row>
    <row r="110">
      <c r="A110" s="9">
        <v>109.0</v>
      </c>
      <c r="B110" s="15"/>
      <c r="C110" s="21">
        <v>3.0</v>
      </c>
      <c r="D110" s="12"/>
      <c r="E110" s="12"/>
      <c r="F110" s="12" t="str">
        <f t="shared" si="1"/>
        <v>Vacant</v>
      </c>
      <c r="G110" s="12"/>
      <c r="H110" s="13">
        <f t="shared" si="2"/>
        <v>0</v>
      </c>
      <c r="I110" s="12"/>
      <c r="J110" s="12"/>
      <c r="K110" s="12">
        <v>1.0</v>
      </c>
      <c r="L110" s="14">
        <v>2.0</v>
      </c>
      <c r="M110" s="14">
        <v>3.0</v>
      </c>
      <c r="N110" s="14">
        <v>4.0</v>
      </c>
      <c r="O110" s="14">
        <v>5.0</v>
      </c>
      <c r="P110" s="14">
        <v>6.0</v>
      </c>
      <c r="Q110" s="14">
        <v>7.0</v>
      </c>
      <c r="R110" s="14">
        <v>8.0</v>
      </c>
      <c r="S110" s="14">
        <v>9.0</v>
      </c>
      <c r="T110" s="14">
        <v>10.0</v>
      </c>
      <c r="U110" s="14">
        <v>11.0</v>
      </c>
      <c r="V110" s="14">
        <v>12.0</v>
      </c>
      <c r="W110" s="14">
        <v>13.0</v>
      </c>
      <c r="X110" s="14">
        <v>14.0</v>
      </c>
      <c r="Y110" s="14">
        <v>15.0</v>
      </c>
      <c r="Z110" s="14">
        <v>16.0</v>
      </c>
      <c r="AA110" s="14">
        <v>17.0</v>
      </c>
      <c r="AB110" s="14">
        <v>18.0</v>
      </c>
      <c r="AC110" s="14">
        <v>19.0</v>
      </c>
      <c r="AD110" s="14">
        <v>20.0</v>
      </c>
      <c r="AE110" s="14">
        <v>21.0</v>
      </c>
      <c r="AF110" s="14">
        <v>22.0</v>
      </c>
      <c r="AG110" s="14">
        <v>23.0</v>
      </c>
      <c r="AH110" s="14">
        <v>24.0</v>
      </c>
      <c r="AI110" s="14">
        <v>25.0</v>
      </c>
      <c r="AJ110" s="14">
        <v>26.0</v>
      </c>
      <c r="AK110" s="14">
        <v>27.0</v>
      </c>
      <c r="AL110" s="14">
        <v>28.0</v>
      </c>
      <c r="AM110" s="14">
        <v>29.0</v>
      </c>
      <c r="AN110" s="14">
        <v>30.0</v>
      </c>
      <c r="AO110" s="14">
        <v>31.0</v>
      </c>
    </row>
    <row r="111">
      <c r="A111" s="9">
        <v>110.0</v>
      </c>
      <c r="B111" s="15"/>
      <c r="C111" s="21">
        <v>4.0</v>
      </c>
      <c r="D111" s="12"/>
      <c r="E111" s="12"/>
      <c r="F111" s="12" t="str">
        <f t="shared" si="1"/>
        <v>Vacant</v>
      </c>
      <c r="G111" s="12"/>
      <c r="H111" s="13">
        <f t="shared" si="2"/>
        <v>0</v>
      </c>
      <c r="I111" s="12"/>
      <c r="J111" s="12"/>
      <c r="K111" s="12">
        <v>1.0</v>
      </c>
      <c r="L111" s="14">
        <v>2.0</v>
      </c>
      <c r="M111" s="14">
        <v>3.0</v>
      </c>
      <c r="N111" s="14">
        <v>4.0</v>
      </c>
      <c r="O111" s="14">
        <v>5.0</v>
      </c>
      <c r="P111" s="14">
        <v>6.0</v>
      </c>
      <c r="Q111" s="14">
        <v>7.0</v>
      </c>
      <c r="R111" s="14">
        <v>8.0</v>
      </c>
      <c r="S111" s="14">
        <v>9.0</v>
      </c>
      <c r="T111" s="14">
        <v>10.0</v>
      </c>
      <c r="U111" s="14">
        <v>11.0</v>
      </c>
      <c r="V111" s="14">
        <v>12.0</v>
      </c>
      <c r="W111" s="14">
        <v>13.0</v>
      </c>
      <c r="X111" s="14">
        <v>14.0</v>
      </c>
      <c r="Y111" s="14">
        <v>15.0</v>
      </c>
      <c r="Z111" s="14">
        <v>16.0</v>
      </c>
      <c r="AA111" s="14">
        <v>17.0</v>
      </c>
      <c r="AB111" s="14">
        <v>18.0</v>
      </c>
      <c r="AC111" s="14">
        <v>19.0</v>
      </c>
      <c r="AD111" s="14">
        <v>20.0</v>
      </c>
      <c r="AE111" s="14">
        <v>21.0</v>
      </c>
      <c r="AF111" s="14">
        <v>22.0</v>
      </c>
      <c r="AG111" s="14">
        <v>23.0</v>
      </c>
      <c r="AH111" s="14">
        <v>24.0</v>
      </c>
      <c r="AI111" s="14">
        <v>25.0</v>
      </c>
      <c r="AJ111" s="14">
        <v>26.0</v>
      </c>
      <c r="AK111" s="14">
        <v>27.0</v>
      </c>
      <c r="AL111" s="14">
        <v>28.0</v>
      </c>
      <c r="AM111" s="14">
        <v>29.0</v>
      </c>
      <c r="AN111" s="14">
        <v>30.0</v>
      </c>
      <c r="AO111" s="14">
        <v>31.0</v>
      </c>
    </row>
    <row r="112">
      <c r="A112" s="9">
        <v>111.0</v>
      </c>
      <c r="B112" s="15"/>
      <c r="C112" s="21">
        <v>5.0</v>
      </c>
      <c r="D112" s="12"/>
      <c r="E112" s="12"/>
      <c r="F112" s="12" t="str">
        <f t="shared" si="1"/>
        <v>Vacant</v>
      </c>
      <c r="G112" s="12"/>
      <c r="H112" s="13">
        <f t="shared" si="2"/>
        <v>0</v>
      </c>
      <c r="I112" s="12"/>
      <c r="J112" s="12"/>
      <c r="K112" s="12">
        <v>1.0</v>
      </c>
      <c r="L112" s="14">
        <v>2.0</v>
      </c>
      <c r="M112" s="14">
        <v>3.0</v>
      </c>
      <c r="N112" s="14">
        <v>4.0</v>
      </c>
      <c r="O112" s="14">
        <v>5.0</v>
      </c>
      <c r="P112" s="14">
        <v>6.0</v>
      </c>
      <c r="Q112" s="14">
        <v>7.0</v>
      </c>
      <c r="R112" s="14">
        <v>8.0</v>
      </c>
      <c r="S112" s="14">
        <v>9.0</v>
      </c>
      <c r="T112" s="14">
        <v>10.0</v>
      </c>
      <c r="U112" s="14">
        <v>11.0</v>
      </c>
      <c r="V112" s="14">
        <v>12.0</v>
      </c>
      <c r="W112" s="14">
        <v>13.0</v>
      </c>
      <c r="X112" s="14">
        <v>14.0</v>
      </c>
      <c r="Y112" s="14">
        <v>15.0</v>
      </c>
      <c r="Z112" s="14">
        <v>16.0</v>
      </c>
      <c r="AA112" s="14">
        <v>17.0</v>
      </c>
      <c r="AB112" s="14">
        <v>18.0</v>
      </c>
      <c r="AC112" s="14">
        <v>19.0</v>
      </c>
      <c r="AD112" s="14">
        <v>20.0</v>
      </c>
      <c r="AE112" s="14">
        <v>21.0</v>
      </c>
      <c r="AF112" s="14">
        <v>22.0</v>
      </c>
      <c r="AG112" s="14">
        <v>23.0</v>
      </c>
      <c r="AH112" s="14">
        <v>24.0</v>
      </c>
      <c r="AI112" s="14">
        <v>25.0</v>
      </c>
      <c r="AJ112" s="14">
        <v>26.0</v>
      </c>
      <c r="AK112" s="14">
        <v>27.0</v>
      </c>
      <c r="AL112" s="14">
        <v>28.0</v>
      </c>
      <c r="AM112" s="14">
        <v>29.0</v>
      </c>
      <c r="AN112" s="14">
        <v>30.0</v>
      </c>
      <c r="AO112" s="14">
        <v>31.0</v>
      </c>
    </row>
    <row r="113">
      <c r="A113" s="9">
        <v>112.0</v>
      </c>
      <c r="B113" s="15"/>
      <c r="C113" s="21">
        <v>6.0</v>
      </c>
      <c r="D113" s="12"/>
      <c r="E113" s="12"/>
      <c r="F113" s="12" t="str">
        <f t="shared" si="1"/>
        <v>Vacant</v>
      </c>
      <c r="G113" s="12"/>
      <c r="H113" s="13">
        <f t="shared" si="2"/>
        <v>0</v>
      </c>
      <c r="I113" s="12"/>
      <c r="J113" s="12"/>
      <c r="K113" s="12">
        <v>1.0</v>
      </c>
      <c r="L113" s="14">
        <v>2.0</v>
      </c>
      <c r="M113" s="14">
        <v>3.0</v>
      </c>
      <c r="N113" s="14">
        <v>4.0</v>
      </c>
      <c r="O113" s="14">
        <v>5.0</v>
      </c>
      <c r="P113" s="14">
        <v>6.0</v>
      </c>
      <c r="Q113" s="14">
        <v>7.0</v>
      </c>
      <c r="R113" s="14">
        <v>8.0</v>
      </c>
      <c r="S113" s="14">
        <v>9.0</v>
      </c>
      <c r="T113" s="14">
        <v>10.0</v>
      </c>
      <c r="U113" s="14">
        <v>11.0</v>
      </c>
      <c r="V113" s="14">
        <v>12.0</v>
      </c>
      <c r="W113" s="14">
        <v>13.0</v>
      </c>
      <c r="X113" s="14">
        <v>14.0</v>
      </c>
      <c r="Y113" s="14">
        <v>15.0</v>
      </c>
      <c r="Z113" s="14">
        <v>16.0</v>
      </c>
      <c r="AA113" s="14">
        <v>17.0</v>
      </c>
      <c r="AB113" s="14">
        <v>18.0</v>
      </c>
      <c r="AC113" s="14">
        <v>19.0</v>
      </c>
      <c r="AD113" s="14">
        <v>20.0</v>
      </c>
      <c r="AE113" s="14">
        <v>21.0</v>
      </c>
      <c r="AF113" s="14">
        <v>22.0</v>
      </c>
      <c r="AG113" s="14">
        <v>23.0</v>
      </c>
      <c r="AH113" s="14">
        <v>24.0</v>
      </c>
      <c r="AI113" s="14">
        <v>25.0</v>
      </c>
      <c r="AJ113" s="14">
        <v>26.0</v>
      </c>
      <c r="AK113" s="14">
        <v>27.0</v>
      </c>
      <c r="AL113" s="14">
        <v>28.0</v>
      </c>
      <c r="AM113" s="14">
        <v>29.0</v>
      </c>
      <c r="AN113" s="14">
        <v>30.0</v>
      </c>
      <c r="AO113" s="14">
        <v>31.0</v>
      </c>
    </row>
    <row r="114">
      <c r="A114" s="9">
        <v>113.0</v>
      </c>
      <c r="B114" s="17"/>
      <c r="C114" s="21">
        <v>7.0</v>
      </c>
      <c r="D114" s="12"/>
      <c r="E114" s="12"/>
      <c r="F114" s="12" t="str">
        <f t="shared" si="1"/>
        <v>Vacant</v>
      </c>
      <c r="G114" s="12"/>
      <c r="H114" s="13">
        <f t="shared" si="2"/>
        <v>0</v>
      </c>
      <c r="I114" s="12"/>
      <c r="J114" s="12"/>
      <c r="K114" s="12">
        <v>1.0</v>
      </c>
      <c r="L114" s="14">
        <v>2.0</v>
      </c>
      <c r="M114" s="14">
        <v>3.0</v>
      </c>
      <c r="N114" s="14">
        <v>4.0</v>
      </c>
      <c r="O114" s="14">
        <v>5.0</v>
      </c>
      <c r="P114" s="14">
        <v>6.0</v>
      </c>
      <c r="Q114" s="14">
        <v>7.0</v>
      </c>
      <c r="R114" s="14">
        <v>8.0</v>
      </c>
      <c r="S114" s="14">
        <v>9.0</v>
      </c>
      <c r="T114" s="14">
        <v>10.0</v>
      </c>
      <c r="U114" s="14">
        <v>11.0</v>
      </c>
      <c r="V114" s="14">
        <v>12.0</v>
      </c>
      <c r="W114" s="14">
        <v>13.0</v>
      </c>
      <c r="X114" s="14">
        <v>14.0</v>
      </c>
      <c r="Y114" s="14">
        <v>15.0</v>
      </c>
      <c r="Z114" s="14">
        <v>16.0</v>
      </c>
      <c r="AA114" s="14">
        <v>17.0</v>
      </c>
      <c r="AB114" s="14">
        <v>18.0</v>
      </c>
      <c r="AC114" s="14">
        <v>19.0</v>
      </c>
      <c r="AD114" s="14">
        <v>20.0</v>
      </c>
      <c r="AE114" s="14">
        <v>21.0</v>
      </c>
      <c r="AF114" s="14">
        <v>22.0</v>
      </c>
      <c r="AG114" s="14">
        <v>23.0</v>
      </c>
      <c r="AH114" s="14">
        <v>24.0</v>
      </c>
      <c r="AI114" s="14">
        <v>25.0</v>
      </c>
      <c r="AJ114" s="14">
        <v>26.0</v>
      </c>
      <c r="AK114" s="14">
        <v>27.0</v>
      </c>
      <c r="AL114" s="14">
        <v>28.0</v>
      </c>
      <c r="AM114" s="14">
        <v>29.0</v>
      </c>
      <c r="AN114" s="14">
        <v>30.0</v>
      </c>
      <c r="AO114" s="14">
        <v>31.0</v>
      </c>
    </row>
    <row r="115">
      <c r="A115" s="9">
        <v>114.0</v>
      </c>
      <c r="B115" s="20" t="s">
        <v>26</v>
      </c>
      <c r="C115" s="21">
        <v>1.0</v>
      </c>
      <c r="D115" s="12"/>
      <c r="E115" s="12"/>
      <c r="F115" s="12" t="str">
        <f t="shared" si="1"/>
        <v>Vacant</v>
      </c>
      <c r="G115" s="12"/>
      <c r="H115" s="13">
        <f t="shared" si="2"/>
        <v>0</v>
      </c>
      <c r="I115" s="12"/>
      <c r="J115" s="12"/>
      <c r="K115" s="12">
        <v>1.0</v>
      </c>
      <c r="L115" s="14">
        <v>2.0</v>
      </c>
      <c r="M115" s="14">
        <v>3.0</v>
      </c>
      <c r="N115" s="14">
        <v>4.0</v>
      </c>
      <c r="O115" s="14">
        <v>5.0</v>
      </c>
      <c r="P115" s="14">
        <v>6.0</v>
      </c>
      <c r="Q115" s="14">
        <v>7.0</v>
      </c>
      <c r="R115" s="14">
        <v>8.0</v>
      </c>
      <c r="S115" s="14">
        <v>9.0</v>
      </c>
      <c r="T115" s="14">
        <v>10.0</v>
      </c>
      <c r="U115" s="14">
        <v>11.0</v>
      </c>
      <c r="V115" s="14">
        <v>12.0</v>
      </c>
      <c r="W115" s="14">
        <v>13.0</v>
      </c>
      <c r="X115" s="14">
        <v>14.0</v>
      </c>
      <c r="Y115" s="14">
        <v>15.0</v>
      </c>
      <c r="Z115" s="14">
        <v>16.0</v>
      </c>
      <c r="AA115" s="14">
        <v>17.0</v>
      </c>
      <c r="AB115" s="14">
        <v>18.0</v>
      </c>
      <c r="AC115" s="14">
        <v>19.0</v>
      </c>
      <c r="AD115" s="14">
        <v>20.0</v>
      </c>
      <c r="AE115" s="14">
        <v>21.0</v>
      </c>
      <c r="AF115" s="14">
        <v>22.0</v>
      </c>
      <c r="AG115" s="14">
        <v>23.0</v>
      </c>
      <c r="AH115" s="14">
        <v>24.0</v>
      </c>
      <c r="AI115" s="14">
        <v>25.0</v>
      </c>
      <c r="AJ115" s="14">
        <v>26.0</v>
      </c>
      <c r="AK115" s="14">
        <v>27.0</v>
      </c>
      <c r="AL115" s="14">
        <v>28.0</v>
      </c>
      <c r="AM115" s="14">
        <v>29.0</v>
      </c>
      <c r="AN115" s="14">
        <v>30.0</v>
      </c>
      <c r="AO115" s="14">
        <v>31.0</v>
      </c>
    </row>
    <row r="116">
      <c r="A116" s="9">
        <v>115.0</v>
      </c>
      <c r="B116" s="15"/>
      <c r="C116" s="21">
        <v>2.0</v>
      </c>
      <c r="D116" s="12"/>
      <c r="E116" s="12"/>
      <c r="F116" s="12" t="str">
        <f t="shared" si="1"/>
        <v>Vacant</v>
      </c>
      <c r="G116" s="12"/>
      <c r="H116" s="13">
        <f t="shared" si="2"/>
        <v>0</v>
      </c>
      <c r="I116" s="12"/>
      <c r="J116" s="12"/>
      <c r="K116" s="12">
        <v>1.0</v>
      </c>
      <c r="L116" s="14">
        <v>2.0</v>
      </c>
      <c r="M116" s="14">
        <v>3.0</v>
      </c>
      <c r="N116" s="14">
        <v>4.0</v>
      </c>
      <c r="O116" s="14">
        <v>5.0</v>
      </c>
      <c r="P116" s="14">
        <v>6.0</v>
      </c>
      <c r="Q116" s="14">
        <v>7.0</v>
      </c>
      <c r="R116" s="14">
        <v>8.0</v>
      </c>
      <c r="S116" s="14">
        <v>9.0</v>
      </c>
      <c r="T116" s="14">
        <v>10.0</v>
      </c>
      <c r="U116" s="14">
        <v>11.0</v>
      </c>
      <c r="V116" s="14">
        <v>12.0</v>
      </c>
      <c r="W116" s="14">
        <v>13.0</v>
      </c>
      <c r="X116" s="14">
        <v>14.0</v>
      </c>
      <c r="Y116" s="14">
        <v>15.0</v>
      </c>
      <c r="Z116" s="14">
        <v>16.0</v>
      </c>
      <c r="AA116" s="14">
        <v>17.0</v>
      </c>
      <c r="AB116" s="14">
        <v>18.0</v>
      </c>
      <c r="AC116" s="14">
        <v>19.0</v>
      </c>
      <c r="AD116" s="14">
        <v>20.0</v>
      </c>
      <c r="AE116" s="14">
        <v>21.0</v>
      </c>
      <c r="AF116" s="14">
        <v>22.0</v>
      </c>
      <c r="AG116" s="14">
        <v>23.0</v>
      </c>
      <c r="AH116" s="14">
        <v>24.0</v>
      </c>
      <c r="AI116" s="14">
        <v>25.0</v>
      </c>
      <c r="AJ116" s="14">
        <v>26.0</v>
      </c>
      <c r="AK116" s="14">
        <v>27.0</v>
      </c>
      <c r="AL116" s="14">
        <v>28.0</v>
      </c>
      <c r="AM116" s="14">
        <v>29.0</v>
      </c>
      <c r="AN116" s="14">
        <v>30.0</v>
      </c>
      <c r="AO116" s="14">
        <v>31.0</v>
      </c>
    </row>
    <row r="117">
      <c r="A117" s="9">
        <v>116.0</v>
      </c>
      <c r="B117" s="15"/>
      <c r="C117" s="21">
        <v>3.0</v>
      </c>
      <c r="D117" s="12"/>
      <c r="E117" s="12"/>
      <c r="F117" s="12" t="str">
        <f t="shared" si="1"/>
        <v>Vacant</v>
      </c>
      <c r="G117" s="12"/>
      <c r="H117" s="13">
        <f t="shared" si="2"/>
        <v>0</v>
      </c>
      <c r="I117" s="12"/>
      <c r="J117" s="12"/>
      <c r="K117" s="12">
        <v>1.0</v>
      </c>
      <c r="L117" s="14">
        <v>2.0</v>
      </c>
      <c r="M117" s="14">
        <v>3.0</v>
      </c>
      <c r="N117" s="14">
        <v>4.0</v>
      </c>
      <c r="O117" s="14">
        <v>5.0</v>
      </c>
      <c r="P117" s="14">
        <v>6.0</v>
      </c>
      <c r="Q117" s="14">
        <v>7.0</v>
      </c>
      <c r="R117" s="14">
        <v>8.0</v>
      </c>
      <c r="S117" s="14">
        <v>9.0</v>
      </c>
      <c r="T117" s="14">
        <v>10.0</v>
      </c>
      <c r="U117" s="14">
        <v>11.0</v>
      </c>
      <c r="V117" s="14">
        <v>12.0</v>
      </c>
      <c r="W117" s="14">
        <v>13.0</v>
      </c>
      <c r="X117" s="14">
        <v>14.0</v>
      </c>
      <c r="Y117" s="14">
        <v>15.0</v>
      </c>
      <c r="Z117" s="14">
        <v>16.0</v>
      </c>
      <c r="AA117" s="14">
        <v>17.0</v>
      </c>
      <c r="AB117" s="14">
        <v>18.0</v>
      </c>
      <c r="AC117" s="14">
        <v>19.0</v>
      </c>
      <c r="AD117" s="14">
        <v>20.0</v>
      </c>
      <c r="AE117" s="14">
        <v>21.0</v>
      </c>
      <c r="AF117" s="14">
        <v>22.0</v>
      </c>
      <c r="AG117" s="14">
        <v>23.0</v>
      </c>
      <c r="AH117" s="14">
        <v>24.0</v>
      </c>
      <c r="AI117" s="14">
        <v>25.0</v>
      </c>
      <c r="AJ117" s="14">
        <v>26.0</v>
      </c>
      <c r="AK117" s="14">
        <v>27.0</v>
      </c>
      <c r="AL117" s="14">
        <v>28.0</v>
      </c>
      <c r="AM117" s="14">
        <v>29.0</v>
      </c>
      <c r="AN117" s="14">
        <v>30.0</v>
      </c>
      <c r="AO117" s="14">
        <v>31.0</v>
      </c>
    </row>
    <row r="118">
      <c r="A118" s="9">
        <v>117.0</v>
      </c>
      <c r="B118" s="15"/>
      <c r="C118" s="21">
        <v>4.0</v>
      </c>
      <c r="D118" s="12"/>
      <c r="E118" s="12"/>
      <c r="F118" s="12" t="str">
        <f t="shared" si="1"/>
        <v>Vacant</v>
      </c>
      <c r="G118" s="12"/>
      <c r="H118" s="13">
        <f t="shared" si="2"/>
        <v>0</v>
      </c>
      <c r="I118" s="12"/>
      <c r="J118" s="12"/>
      <c r="K118" s="12">
        <v>1.0</v>
      </c>
      <c r="L118" s="14">
        <v>2.0</v>
      </c>
      <c r="M118" s="14">
        <v>3.0</v>
      </c>
      <c r="N118" s="14">
        <v>4.0</v>
      </c>
      <c r="O118" s="14">
        <v>5.0</v>
      </c>
      <c r="P118" s="14">
        <v>6.0</v>
      </c>
      <c r="Q118" s="14">
        <v>7.0</v>
      </c>
      <c r="R118" s="14">
        <v>8.0</v>
      </c>
      <c r="S118" s="14">
        <v>9.0</v>
      </c>
      <c r="T118" s="14">
        <v>10.0</v>
      </c>
      <c r="U118" s="14">
        <v>11.0</v>
      </c>
      <c r="V118" s="14">
        <v>12.0</v>
      </c>
      <c r="W118" s="14">
        <v>13.0</v>
      </c>
      <c r="X118" s="14">
        <v>14.0</v>
      </c>
      <c r="Y118" s="14">
        <v>15.0</v>
      </c>
      <c r="Z118" s="14">
        <v>16.0</v>
      </c>
      <c r="AA118" s="14">
        <v>17.0</v>
      </c>
      <c r="AB118" s="14">
        <v>18.0</v>
      </c>
      <c r="AC118" s="14">
        <v>19.0</v>
      </c>
      <c r="AD118" s="14">
        <v>20.0</v>
      </c>
      <c r="AE118" s="14">
        <v>21.0</v>
      </c>
      <c r="AF118" s="14">
        <v>22.0</v>
      </c>
      <c r="AG118" s="14">
        <v>23.0</v>
      </c>
      <c r="AH118" s="14">
        <v>24.0</v>
      </c>
      <c r="AI118" s="14">
        <v>25.0</v>
      </c>
      <c r="AJ118" s="14">
        <v>26.0</v>
      </c>
      <c r="AK118" s="14">
        <v>27.0</v>
      </c>
      <c r="AL118" s="14">
        <v>28.0</v>
      </c>
      <c r="AM118" s="14">
        <v>29.0</v>
      </c>
      <c r="AN118" s="14">
        <v>30.0</v>
      </c>
      <c r="AO118" s="14">
        <v>31.0</v>
      </c>
    </row>
    <row r="119">
      <c r="A119" s="9">
        <v>118.0</v>
      </c>
      <c r="B119" s="15"/>
      <c r="C119" s="21">
        <v>5.0</v>
      </c>
      <c r="D119" s="12"/>
      <c r="E119" s="12"/>
      <c r="F119" s="12" t="str">
        <f t="shared" si="1"/>
        <v>Vacant</v>
      </c>
      <c r="G119" s="12"/>
      <c r="H119" s="13">
        <f t="shared" si="2"/>
        <v>0</v>
      </c>
      <c r="I119" s="12"/>
      <c r="J119" s="12"/>
      <c r="K119" s="12">
        <v>1.0</v>
      </c>
      <c r="L119" s="14">
        <v>2.0</v>
      </c>
      <c r="M119" s="14">
        <v>3.0</v>
      </c>
      <c r="N119" s="14">
        <v>4.0</v>
      </c>
      <c r="O119" s="14">
        <v>5.0</v>
      </c>
      <c r="P119" s="14">
        <v>6.0</v>
      </c>
      <c r="Q119" s="14">
        <v>7.0</v>
      </c>
      <c r="R119" s="14">
        <v>8.0</v>
      </c>
      <c r="S119" s="14">
        <v>9.0</v>
      </c>
      <c r="T119" s="14">
        <v>10.0</v>
      </c>
      <c r="U119" s="14">
        <v>11.0</v>
      </c>
      <c r="V119" s="14">
        <v>12.0</v>
      </c>
      <c r="W119" s="14">
        <v>13.0</v>
      </c>
      <c r="X119" s="14">
        <v>14.0</v>
      </c>
      <c r="Y119" s="14">
        <v>15.0</v>
      </c>
      <c r="Z119" s="14">
        <v>16.0</v>
      </c>
      <c r="AA119" s="14">
        <v>17.0</v>
      </c>
      <c r="AB119" s="14">
        <v>18.0</v>
      </c>
      <c r="AC119" s="14">
        <v>19.0</v>
      </c>
      <c r="AD119" s="14">
        <v>20.0</v>
      </c>
      <c r="AE119" s="14">
        <v>21.0</v>
      </c>
      <c r="AF119" s="14">
        <v>22.0</v>
      </c>
      <c r="AG119" s="14">
        <v>23.0</v>
      </c>
      <c r="AH119" s="14">
        <v>24.0</v>
      </c>
      <c r="AI119" s="14">
        <v>25.0</v>
      </c>
      <c r="AJ119" s="14">
        <v>26.0</v>
      </c>
      <c r="AK119" s="14">
        <v>27.0</v>
      </c>
      <c r="AL119" s="14">
        <v>28.0</v>
      </c>
      <c r="AM119" s="14">
        <v>29.0</v>
      </c>
      <c r="AN119" s="14">
        <v>30.0</v>
      </c>
      <c r="AO119" s="14">
        <v>31.0</v>
      </c>
    </row>
    <row r="120">
      <c r="A120" s="9">
        <v>119.0</v>
      </c>
      <c r="B120" s="15"/>
      <c r="C120" s="21">
        <v>6.0</v>
      </c>
      <c r="D120" s="12"/>
      <c r="E120" s="12"/>
      <c r="F120" s="12" t="str">
        <f t="shared" si="1"/>
        <v>Vacant</v>
      </c>
      <c r="G120" s="12"/>
      <c r="H120" s="13">
        <f t="shared" si="2"/>
        <v>0</v>
      </c>
      <c r="I120" s="12"/>
      <c r="J120" s="12"/>
      <c r="K120" s="12">
        <v>1.0</v>
      </c>
      <c r="L120" s="14">
        <v>2.0</v>
      </c>
      <c r="M120" s="14">
        <v>3.0</v>
      </c>
      <c r="N120" s="14">
        <v>4.0</v>
      </c>
      <c r="O120" s="14">
        <v>5.0</v>
      </c>
      <c r="P120" s="14">
        <v>6.0</v>
      </c>
      <c r="Q120" s="14">
        <v>7.0</v>
      </c>
      <c r="R120" s="14">
        <v>8.0</v>
      </c>
      <c r="S120" s="14">
        <v>9.0</v>
      </c>
      <c r="T120" s="14">
        <v>10.0</v>
      </c>
      <c r="U120" s="14">
        <v>11.0</v>
      </c>
      <c r="V120" s="14">
        <v>12.0</v>
      </c>
      <c r="W120" s="14">
        <v>13.0</v>
      </c>
      <c r="X120" s="14">
        <v>14.0</v>
      </c>
      <c r="Y120" s="14">
        <v>15.0</v>
      </c>
      <c r="Z120" s="14">
        <v>16.0</v>
      </c>
      <c r="AA120" s="14">
        <v>17.0</v>
      </c>
      <c r="AB120" s="14">
        <v>18.0</v>
      </c>
      <c r="AC120" s="14">
        <v>19.0</v>
      </c>
      <c r="AD120" s="14">
        <v>20.0</v>
      </c>
      <c r="AE120" s="14">
        <v>21.0</v>
      </c>
      <c r="AF120" s="14">
        <v>22.0</v>
      </c>
      <c r="AG120" s="14">
        <v>23.0</v>
      </c>
      <c r="AH120" s="14">
        <v>24.0</v>
      </c>
      <c r="AI120" s="14">
        <v>25.0</v>
      </c>
      <c r="AJ120" s="14">
        <v>26.0</v>
      </c>
      <c r="AK120" s="14">
        <v>27.0</v>
      </c>
      <c r="AL120" s="14">
        <v>28.0</v>
      </c>
      <c r="AM120" s="14">
        <v>29.0</v>
      </c>
      <c r="AN120" s="14">
        <v>30.0</v>
      </c>
      <c r="AO120" s="14">
        <v>31.0</v>
      </c>
    </row>
    <row r="121">
      <c r="A121" s="9">
        <v>120.0</v>
      </c>
      <c r="B121" s="15"/>
      <c r="C121" s="21">
        <v>7.0</v>
      </c>
      <c r="D121" s="12"/>
      <c r="E121" s="12"/>
      <c r="F121" s="12" t="str">
        <f t="shared" si="1"/>
        <v>Vacant</v>
      </c>
      <c r="G121" s="12"/>
      <c r="H121" s="13">
        <f t="shared" si="2"/>
        <v>0</v>
      </c>
      <c r="I121" s="12"/>
      <c r="J121" s="12"/>
      <c r="K121" s="12">
        <v>1.0</v>
      </c>
      <c r="L121" s="14">
        <v>2.0</v>
      </c>
      <c r="M121" s="14">
        <v>3.0</v>
      </c>
      <c r="N121" s="14">
        <v>4.0</v>
      </c>
      <c r="O121" s="14">
        <v>5.0</v>
      </c>
      <c r="P121" s="14">
        <v>6.0</v>
      </c>
      <c r="Q121" s="14">
        <v>7.0</v>
      </c>
      <c r="R121" s="14">
        <v>8.0</v>
      </c>
      <c r="S121" s="14">
        <v>9.0</v>
      </c>
      <c r="T121" s="14">
        <v>10.0</v>
      </c>
      <c r="U121" s="14">
        <v>11.0</v>
      </c>
      <c r="V121" s="14">
        <v>12.0</v>
      </c>
      <c r="W121" s="14">
        <v>13.0</v>
      </c>
      <c r="X121" s="14">
        <v>14.0</v>
      </c>
      <c r="Y121" s="14">
        <v>15.0</v>
      </c>
      <c r="Z121" s="14">
        <v>16.0</v>
      </c>
      <c r="AA121" s="14">
        <v>17.0</v>
      </c>
      <c r="AB121" s="14">
        <v>18.0</v>
      </c>
      <c r="AC121" s="14">
        <v>19.0</v>
      </c>
      <c r="AD121" s="14">
        <v>20.0</v>
      </c>
      <c r="AE121" s="14">
        <v>21.0</v>
      </c>
      <c r="AF121" s="14">
        <v>22.0</v>
      </c>
      <c r="AG121" s="14">
        <v>23.0</v>
      </c>
      <c r="AH121" s="14">
        <v>24.0</v>
      </c>
      <c r="AI121" s="14">
        <v>25.0</v>
      </c>
      <c r="AJ121" s="14">
        <v>26.0</v>
      </c>
      <c r="AK121" s="14">
        <v>27.0</v>
      </c>
      <c r="AL121" s="14">
        <v>28.0</v>
      </c>
      <c r="AM121" s="14">
        <v>29.0</v>
      </c>
      <c r="AN121" s="14">
        <v>30.0</v>
      </c>
      <c r="AO121" s="14">
        <v>31.0</v>
      </c>
    </row>
    <row r="122">
      <c r="A122" s="9">
        <v>121.0</v>
      </c>
      <c r="B122" s="15"/>
      <c r="C122" s="21">
        <v>8.0</v>
      </c>
      <c r="D122" s="12"/>
      <c r="E122" s="12"/>
      <c r="F122" s="12" t="str">
        <f t="shared" si="1"/>
        <v>Vacant</v>
      </c>
      <c r="G122" s="12"/>
      <c r="H122" s="13">
        <f t="shared" si="2"/>
        <v>0</v>
      </c>
      <c r="I122" s="12"/>
      <c r="J122" s="12"/>
      <c r="K122" s="12">
        <v>1.0</v>
      </c>
      <c r="L122" s="14">
        <v>2.0</v>
      </c>
      <c r="M122" s="14">
        <v>3.0</v>
      </c>
      <c r="N122" s="14">
        <v>4.0</v>
      </c>
      <c r="O122" s="14">
        <v>5.0</v>
      </c>
      <c r="P122" s="14">
        <v>6.0</v>
      </c>
      <c r="Q122" s="14">
        <v>7.0</v>
      </c>
      <c r="R122" s="14">
        <v>8.0</v>
      </c>
      <c r="S122" s="14">
        <v>9.0</v>
      </c>
      <c r="T122" s="14">
        <v>10.0</v>
      </c>
      <c r="U122" s="14">
        <v>11.0</v>
      </c>
      <c r="V122" s="14">
        <v>12.0</v>
      </c>
      <c r="W122" s="14">
        <v>13.0</v>
      </c>
      <c r="X122" s="14">
        <v>14.0</v>
      </c>
      <c r="Y122" s="14">
        <v>15.0</v>
      </c>
      <c r="Z122" s="14">
        <v>16.0</v>
      </c>
      <c r="AA122" s="14">
        <v>17.0</v>
      </c>
      <c r="AB122" s="14">
        <v>18.0</v>
      </c>
      <c r="AC122" s="14">
        <v>19.0</v>
      </c>
      <c r="AD122" s="14">
        <v>20.0</v>
      </c>
      <c r="AE122" s="14">
        <v>21.0</v>
      </c>
      <c r="AF122" s="14">
        <v>22.0</v>
      </c>
      <c r="AG122" s="14">
        <v>23.0</v>
      </c>
      <c r="AH122" s="14">
        <v>24.0</v>
      </c>
      <c r="AI122" s="14">
        <v>25.0</v>
      </c>
      <c r="AJ122" s="14">
        <v>26.0</v>
      </c>
      <c r="AK122" s="14">
        <v>27.0</v>
      </c>
      <c r="AL122" s="14">
        <v>28.0</v>
      </c>
      <c r="AM122" s="14">
        <v>29.0</v>
      </c>
      <c r="AN122" s="14">
        <v>30.0</v>
      </c>
      <c r="AO122" s="14">
        <v>31.0</v>
      </c>
    </row>
    <row r="123">
      <c r="A123" s="9">
        <v>122.0</v>
      </c>
      <c r="B123" s="15"/>
      <c r="C123" s="21">
        <v>9.0</v>
      </c>
      <c r="D123" s="12"/>
      <c r="E123" s="12"/>
      <c r="F123" s="12" t="str">
        <f t="shared" si="1"/>
        <v>Vacant</v>
      </c>
      <c r="G123" s="12"/>
      <c r="H123" s="13">
        <f t="shared" si="2"/>
        <v>0</v>
      </c>
      <c r="I123" s="12"/>
      <c r="J123" s="12"/>
      <c r="K123" s="12">
        <v>1.0</v>
      </c>
      <c r="L123" s="14">
        <v>2.0</v>
      </c>
      <c r="M123" s="14">
        <v>3.0</v>
      </c>
      <c r="N123" s="14">
        <v>4.0</v>
      </c>
      <c r="O123" s="14">
        <v>5.0</v>
      </c>
      <c r="P123" s="14">
        <v>6.0</v>
      </c>
      <c r="Q123" s="14">
        <v>7.0</v>
      </c>
      <c r="R123" s="14">
        <v>8.0</v>
      </c>
      <c r="S123" s="14">
        <v>9.0</v>
      </c>
      <c r="T123" s="14">
        <v>10.0</v>
      </c>
      <c r="U123" s="14">
        <v>11.0</v>
      </c>
      <c r="V123" s="14">
        <v>12.0</v>
      </c>
      <c r="W123" s="14">
        <v>13.0</v>
      </c>
      <c r="X123" s="14">
        <v>14.0</v>
      </c>
      <c r="Y123" s="14">
        <v>15.0</v>
      </c>
      <c r="Z123" s="14">
        <v>16.0</v>
      </c>
      <c r="AA123" s="14">
        <v>17.0</v>
      </c>
      <c r="AB123" s="14">
        <v>18.0</v>
      </c>
      <c r="AC123" s="14">
        <v>19.0</v>
      </c>
      <c r="AD123" s="14">
        <v>20.0</v>
      </c>
      <c r="AE123" s="14">
        <v>21.0</v>
      </c>
      <c r="AF123" s="14">
        <v>22.0</v>
      </c>
      <c r="AG123" s="14">
        <v>23.0</v>
      </c>
      <c r="AH123" s="14">
        <v>24.0</v>
      </c>
      <c r="AI123" s="14">
        <v>25.0</v>
      </c>
      <c r="AJ123" s="14">
        <v>26.0</v>
      </c>
      <c r="AK123" s="14">
        <v>27.0</v>
      </c>
      <c r="AL123" s="14">
        <v>28.0</v>
      </c>
      <c r="AM123" s="14">
        <v>29.0</v>
      </c>
      <c r="AN123" s="14">
        <v>30.0</v>
      </c>
      <c r="AO123" s="14">
        <v>31.0</v>
      </c>
    </row>
    <row r="124">
      <c r="A124" s="9">
        <v>123.0</v>
      </c>
      <c r="B124" s="17"/>
      <c r="C124" s="21">
        <v>10.0</v>
      </c>
      <c r="D124" s="12"/>
      <c r="E124" s="12"/>
      <c r="F124" s="12" t="str">
        <f t="shared" si="1"/>
        <v>Vacant</v>
      </c>
      <c r="G124" s="12"/>
      <c r="H124" s="13">
        <f t="shared" si="2"/>
        <v>0</v>
      </c>
      <c r="I124" s="12"/>
      <c r="J124" s="12"/>
      <c r="K124" s="12">
        <v>1.0</v>
      </c>
      <c r="L124" s="14">
        <v>2.0</v>
      </c>
      <c r="M124" s="14">
        <v>3.0</v>
      </c>
      <c r="N124" s="14">
        <v>4.0</v>
      </c>
      <c r="O124" s="14">
        <v>5.0</v>
      </c>
      <c r="P124" s="14">
        <v>6.0</v>
      </c>
      <c r="Q124" s="14">
        <v>7.0</v>
      </c>
      <c r="R124" s="14">
        <v>8.0</v>
      </c>
      <c r="S124" s="14">
        <v>9.0</v>
      </c>
      <c r="T124" s="14">
        <v>10.0</v>
      </c>
      <c r="U124" s="14">
        <v>11.0</v>
      </c>
      <c r="V124" s="14">
        <v>12.0</v>
      </c>
      <c r="W124" s="14">
        <v>13.0</v>
      </c>
      <c r="X124" s="14">
        <v>14.0</v>
      </c>
      <c r="Y124" s="14">
        <v>15.0</v>
      </c>
      <c r="Z124" s="14">
        <v>16.0</v>
      </c>
      <c r="AA124" s="14">
        <v>17.0</v>
      </c>
      <c r="AB124" s="14">
        <v>18.0</v>
      </c>
      <c r="AC124" s="14">
        <v>19.0</v>
      </c>
      <c r="AD124" s="14">
        <v>20.0</v>
      </c>
      <c r="AE124" s="14">
        <v>21.0</v>
      </c>
      <c r="AF124" s="14">
        <v>22.0</v>
      </c>
      <c r="AG124" s="14">
        <v>23.0</v>
      </c>
      <c r="AH124" s="14">
        <v>24.0</v>
      </c>
      <c r="AI124" s="14">
        <v>25.0</v>
      </c>
      <c r="AJ124" s="14">
        <v>26.0</v>
      </c>
      <c r="AK124" s="14">
        <v>27.0</v>
      </c>
      <c r="AL124" s="14">
        <v>28.0</v>
      </c>
      <c r="AM124" s="14">
        <v>29.0</v>
      </c>
      <c r="AN124" s="14">
        <v>30.0</v>
      </c>
      <c r="AO124" s="14">
        <v>31.0</v>
      </c>
    </row>
    <row r="125">
      <c r="A125" s="22"/>
      <c r="B125" s="23"/>
      <c r="C125" s="22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</row>
    <row r="126">
      <c r="A126" s="22"/>
      <c r="B126" s="23"/>
      <c r="C126" s="22"/>
      <c r="D126" s="24"/>
      <c r="E126" s="24"/>
      <c r="F126" s="25" t="s">
        <v>27</v>
      </c>
      <c r="G126" s="25" t="s">
        <v>28</v>
      </c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</row>
    <row r="127">
      <c r="A127" s="26" t="s">
        <v>29</v>
      </c>
      <c r="B127" s="27">
        <v>57.0</v>
      </c>
      <c r="C127" s="22"/>
      <c r="D127" s="24"/>
      <c r="E127" s="24"/>
      <c r="F127" s="28">
        <v>1800000.0</v>
      </c>
      <c r="G127" s="29">
        <f>F127*12</f>
        <v>21600000</v>
      </c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</row>
    <row r="128">
      <c r="A128" s="30" t="s">
        <v>30</v>
      </c>
      <c r="B128" s="31">
        <v>66.0</v>
      </c>
      <c r="C128" s="22"/>
      <c r="D128" s="24"/>
      <c r="E128" s="24"/>
      <c r="F128" s="32" t="s">
        <v>31</v>
      </c>
      <c r="G128" s="33">
        <f>sum(H85:H124)</f>
        <v>0</v>
      </c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</row>
    <row r="129">
      <c r="A129" s="34" t="s">
        <v>32</v>
      </c>
      <c r="B129" s="35">
        <v>123.0</v>
      </c>
      <c r="C129" s="22"/>
      <c r="D129" s="24"/>
      <c r="E129" s="24"/>
      <c r="F129" s="36" t="s">
        <v>33</v>
      </c>
      <c r="G129" s="37">
        <f>G127*B129</f>
        <v>2656800000</v>
      </c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</row>
    <row r="130">
      <c r="B130" s="38"/>
    </row>
    <row r="131">
      <c r="A131" s="39" t="s">
        <v>34</v>
      </c>
      <c r="B131" s="40">
        <f>B133/B129</f>
        <v>0</v>
      </c>
      <c r="C131" s="41" t="s">
        <v>34</v>
      </c>
      <c r="D131" s="42">
        <f>B131</f>
        <v>0</v>
      </c>
    </row>
    <row r="132">
      <c r="A132" s="39" t="s">
        <v>35</v>
      </c>
      <c r="B132" s="43">
        <f>COUNTIF(F2:F124,"Vacant")</f>
        <v>123</v>
      </c>
      <c r="C132" s="41" t="s">
        <v>36</v>
      </c>
      <c r="D132" s="44">
        <f>B133</f>
        <v>0</v>
      </c>
    </row>
    <row r="133">
      <c r="A133" s="39" t="s">
        <v>36</v>
      </c>
      <c r="B133" s="43">
        <f>COUNTIF(F2:F124,"Inhouse")</f>
        <v>0</v>
      </c>
      <c r="C133" s="41" t="s">
        <v>37</v>
      </c>
      <c r="D133" s="45">
        <f>B141</f>
        <v>0</v>
      </c>
    </row>
    <row r="134">
      <c r="A134" s="39" t="s">
        <v>38</v>
      </c>
      <c r="B134" s="46">
        <f>COUNTIF(F2:F124,"OO")</f>
        <v>0</v>
      </c>
    </row>
    <row r="135">
      <c r="A135" s="47" t="s">
        <v>39</v>
      </c>
      <c r="B135" s="48">
        <f>SUM(B132:B134)</f>
        <v>123</v>
      </c>
      <c r="C135" s="49" t="s">
        <v>40</v>
      </c>
      <c r="D135" s="50"/>
    </row>
    <row r="136">
      <c r="A136" s="51" t="s">
        <v>41</v>
      </c>
      <c r="B136" s="52">
        <f>COUNTIF(E2:E124,"Putra")</f>
        <v>0</v>
      </c>
      <c r="C136" s="49" t="s">
        <v>42</v>
      </c>
      <c r="D136" s="53">
        <f>B136*G127</f>
        <v>0</v>
      </c>
    </row>
    <row r="137">
      <c r="A137" s="51" t="s">
        <v>43</v>
      </c>
      <c r="B137" s="52">
        <f>COUNTIF(E2:E124,"Putri")</f>
        <v>0</v>
      </c>
      <c r="C137" s="49" t="s">
        <v>44</v>
      </c>
      <c r="D137" s="53">
        <f>B137*G127</f>
        <v>0</v>
      </c>
    </row>
    <row r="138">
      <c r="A138" s="51" t="s">
        <v>45</v>
      </c>
      <c r="B138" s="52">
        <f>B136+B137</f>
        <v>0</v>
      </c>
      <c r="C138" s="49" t="s">
        <v>46</v>
      </c>
      <c r="D138" s="53">
        <f>D136+D137</f>
        <v>0</v>
      </c>
    </row>
    <row r="139">
      <c r="A139" s="54"/>
      <c r="B139" s="38"/>
    </row>
    <row r="140">
      <c r="A140" s="55" t="s">
        <v>47</v>
      </c>
      <c r="B140" s="56">
        <f>B141/B142</f>
        <v>0</v>
      </c>
    </row>
    <row r="141">
      <c r="A141" s="55" t="s">
        <v>48</v>
      </c>
      <c r="B141" s="57">
        <f t="shared" ref="B141:B142" si="3">G128</f>
        <v>0</v>
      </c>
    </row>
    <row r="142">
      <c r="A142" s="55" t="s">
        <v>49</v>
      </c>
      <c r="B142" s="57">
        <f t="shared" si="3"/>
        <v>2656800000</v>
      </c>
    </row>
    <row r="143">
      <c r="B143" s="38"/>
    </row>
    <row r="144">
      <c r="B144" s="38"/>
    </row>
    <row r="145">
      <c r="B145" s="38"/>
    </row>
    <row r="146">
      <c r="B146" s="38"/>
    </row>
    <row r="147">
      <c r="B147" s="38"/>
    </row>
    <row r="148">
      <c r="B148" s="38"/>
    </row>
    <row r="149">
      <c r="B149" s="38"/>
    </row>
    <row r="150">
      <c r="B150" s="38"/>
    </row>
    <row r="151">
      <c r="B151" s="38"/>
    </row>
    <row r="152">
      <c r="B152" s="38"/>
    </row>
    <row r="153">
      <c r="B153" s="38"/>
    </row>
    <row r="154">
      <c r="B154" s="38"/>
    </row>
    <row r="155">
      <c r="B155" s="38"/>
    </row>
    <row r="156">
      <c r="B156" s="38"/>
    </row>
    <row r="157">
      <c r="B157" s="38"/>
    </row>
    <row r="158">
      <c r="B158" s="38"/>
    </row>
    <row r="159">
      <c r="B159" s="38"/>
    </row>
    <row r="160">
      <c r="B160" s="38"/>
    </row>
    <row r="161">
      <c r="B161" s="38"/>
    </row>
    <row r="162">
      <c r="B162" s="38"/>
    </row>
    <row r="163">
      <c r="B163" s="38"/>
    </row>
    <row r="164">
      <c r="B164" s="38"/>
    </row>
    <row r="165">
      <c r="B165" s="38"/>
    </row>
    <row r="166">
      <c r="B166" s="38"/>
    </row>
    <row r="167">
      <c r="B167" s="38"/>
    </row>
    <row r="168">
      <c r="B168" s="38"/>
    </row>
    <row r="169">
      <c r="B169" s="38"/>
    </row>
    <row r="170">
      <c r="B170" s="38"/>
    </row>
    <row r="171">
      <c r="B171" s="38"/>
    </row>
    <row r="172">
      <c r="B172" s="38"/>
    </row>
    <row r="173">
      <c r="B173" s="38"/>
    </row>
    <row r="174">
      <c r="B174" s="38"/>
    </row>
    <row r="175">
      <c r="B175" s="38"/>
    </row>
    <row r="176">
      <c r="B176" s="38"/>
    </row>
    <row r="177">
      <c r="B177" s="38"/>
    </row>
    <row r="178">
      <c r="B178" s="38"/>
    </row>
    <row r="179">
      <c r="B179" s="38"/>
    </row>
    <row r="180">
      <c r="B180" s="38"/>
    </row>
    <row r="181">
      <c r="B181" s="38"/>
    </row>
    <row r="182">
      <c r="B182" s="38"/>
    </row>
    <row r="183">
      <c r="B183" s="38"/>
    </row>
    <row r="184">
      <c r="B184" s="38"/>
    </row>
    <row r="185">
      <c r="B185" s="38"/>
    </row>
    <row r="186">
      <c r="B186" s="38"/>
    </row>
    <row r="187">
      <c r="B187" s="38"/>
    </row>
    <row r="188">
      <c r="B188" s="38"/>
    </row>
    <row r="189">
      <c r="B189" s="38"/>
    </row>
    <row r="190">
      <c r="B190" s="38"/>
    </row>
    <row r="191">
      <c r="B191" s="38"/>
    </row>
    <row r="192">
      <c r="B192" s="38"/>
    </row>
    <row r="193">
      <c r="B193" s="38"/>
    </row>
    <row r="194">
      <c r="B194" s="38"/>
    </row>
    <row r="195">
      <c r="B195" s="38"/>
    </row>
    <row r="196">
      <c r="B196" s="38"/>
    </row>
    <row r="197">
      <c r="B197" s="38"/>
    </row>
    <row r="198">
      <c r="B198" s="38"/>
    </row>
    <row r="199">
      <c r="B199" s="38"/>
    </row>
    <row r="200">
      <c r="B200" s="38"/>
    </row>
    <row r="201">
      <c r="B201" s="38"/>
    </row>
    <row r="202">
      <c r="B202" s="38"/>
    </row>
    <row r="203">
      <c r="B203" s="38"/>
    </row>
    <row r="204">
      <c r="B204" s="38"/>
    </row>
    <row r="205">
      <c r="B205" s="38"/>
    </row>
    <row r="206">
      <c r="B206" s="38"/>
    </row>
    <row r="207">
      <c r="B207" s="38"/>
    </row>
    <row r="208">
      <c r="B208" s="38"/>
    </row>
    <row r="209">
      <c r="B209" s="38"/>
    </row>
    <row r="210">
      <c r="B210" s="38"/>
    </row>
    <row r="211">
      <c r="B211" s="38"/>
    </row>
    <row r="212">
      <c r="B212" s="38"/>
    </row>
    <row r="213">
      <c r="B213" s="38"/>
    </row>
    <row r="214">
      <c r="B214" s="38"/>
    </row>
    <row r="215">
      <c r="B215" s="38"/>
    </row>
    <row r="216">
      <c r="B216" s="38"/>
    </row>
    <row r="217">
      <c r="B217" s="38"/>
    </row>
    <row r="218">
      <c r="B218" s="38"/>
    </row>
    <row r="219">
      <c r="B219" s="38"/>
    </row>
    <row r="220">
      <c r="B220" s="38"/>
    </row>
    <row r="221">
      <c r="B221" s="38"/>
    </row>
    <row r="222">
      <c r="B222" s="38"/>
    </row>
    <row r="223">
      <c r="B223" s="38"/>
    </row>
    <row r="224">
      <c r="B224" s="38"/>
    </row>
    <row r="225">
      <c r="B225" s="38"/>
    </row>
    <row r="226">
      <c r="B226" s="38"/>
    </row>
    <row r="227">
      <c r="B227" s="38"/>
    </row>
    <row r="228">
      <c r="B228" s="38"/>
    </row>
    <row r="229">
      <c r="B229" s="38"/>
    </row>
    <row r="230">
      <c r="B230" s="38"/>
    </row>
    <row r="231">
      <c r="B231" s="38"/>
    </row>
    <row r="232">
      <c r="B232" s="38"/>
    </row>
    <row r="233">
      <c r="B233" s="38"/>
    </row>
    <row r="234">
      <c r="B234" s="38"/>
    </row>
    <row r="235">
      <c r="B235" s="38"/>
    </row>
    <row r="236">
      <c r="B236" s="38"/>
    </row>
    <row r="237">
      <c r="B237" s="38"/>
    </row>
    <row r="238">
      <c r="B238" s="38"/>
    </row>
    <row r="239">
      <c r="B239" s="38"/>
    </row>
    <row r="240">
      <c r="B240" s="38"/>
    </row>
    <row r="241">
      <c r="B241" s="38"/>
    </row>
    <row r="242">
      <c r="B242" s="38"/>
    </row>
    <row r="243">
      <c r="B243" s="38"/>
    </row>
    <row r="244">
      <c r="B244" s="38"/>
    </row>
    <row r="245">
      <c r="B245" s="38"/>
    </row>
    <row r="246">
      <c r="B246" s="38"/>
    </row>
    <row r="247">
      <c r="B247" s="38"/>
    </row>
    <row r="248">
      <c r="B248" s="38"/>
    </row>
    <row r="249">
      <c r="B249" s="38"/>
    </row>
    <row r="250">
      <c r="B250" s="38"/>
    </row>
    <row r="251">
      <c r="B251" s="38"/>
    </row>
    <row r="252">
      <c r="B252" s="38"/>
    </row>
    <row r="253">
      <c r="B253" s="38"/>
    </row>
    <row r="254">
      <c r="B254" s="38"/>
    </row>
    <row r="255">
      <c r="B255" s="38"/>
    </row>
    <row r="256">
      <c r="B256" s="38"/>
    </row>
    <row r="257">
      <c r="B257" s="38"/>
    </row>
    <row r="258">
      <c r="B258" s="38"/>
    </row>
    <row r="259">
      <c r="B259" s="38"/>
    </row>
    <row r="260">
      <c r="B260" s="38"/>
    </row>
    <row r="261">
      <c r="B261" s="38"/>
    </row>
    <row r="262">
      <c r="B262" s="38"/>
    </row>
    <row r="263">
      <c r="B263" s="38"/>
    </row>
    <row r="264">
      <c r="B264" s="38"/>
    </row>
    <row r="265">
      <c r="B265" s="38"/>
    </row>
    <row r="266">
      <c r="B266" s="38"/>
    </row>
    <row r="267">
      <c r="B267" s="38"/>
    </row>
    <row r="268">
      <c r="B268" s="38"/>
    </row>
    <row r="269">
      <c r="B269" s="38"/>
    </row>
    <row r="270">
      <c r="B270" s="38"/>
    </row>
    <row r="271">
      <c r="B271" s="38"/>
    </row>
    <row r="272">
      <c r="B272" s="38"/>
    </row>
    <row r="273">
      <c r="B273" s="38"/>
    </row>
    <row r="274">
      <c r="B274" s="38"/>
    </row>
    <row r="275">
      <c r="B275" s="38"/>
    </row>
    <row r="276">
      <c r="B276" s="38"/>
    </row>
    <row r="277">
      <c r="B277" s="38"/>
    </row>
    <row r="278">
      <c r="B278" s="38"/>
    </row>
    <row r="279">
      <c r="B279" s="38"/>
    </row>
    <row r="280">
      <c r="B280" s="38"/>
    </row>
    <row r="281">
      <c r="B281" s="38"/>
    </row>
    <row r="282">
      <c r="B282" s="38"/>
    </row>
    <row r="283">
      <c r="B283" s="38"/>
    </row>
    <row r="284">
      <c r="B284" s="38"/>
    </row>
    <row r="285">
      <c r="B285" s="38"/>
    </row>
    <row r="286">
      <c r="B286" s="38"/>
    </row>
    <row r="287">
      <c r="B287" s="38"/>
    </row>
    <row r="288">
      <c r="B288" s="38"/>
    </row>
    <row r="289">
      <c r="B289" s="38"/>
    </row>
    <row r="290">
      <c r="B290" s="38"/>
    </row>
    <row r="291">
      <c r="B291" s="38"/>
    </row>
    <row r="292">
      <c r="B292" s="38"/>
    </row>
    <row r="293">
      <c r="B293" s="38"/>
    </row>
    <row r="294">
      <c r="B294" s="38"/>
    </row>
    <row r="295">
      <c r="B295" s="38"/>
    </row>
    <row r="296">
      <c r="B296" s="38"/>
    </row>
    <row r="297">
      <c r="B297" s="38"/>
    </row>
    <row r="298">
      <c r="B298" s="38"/>
    </row>
    <row r="299">
      <c r="B299" s="38"/>
    </row>
    <row r="300">
      <c r="B300" s="38"/>
    </row>
    <row r="301">
      <c r="B301" s="38"/>
    </row>
    <row r="302">
      <c r="B302" s="38"/>
    </row>
    <row r="303">
      <c r="B303" s="38"/>
    </row>
    <row r="304">
      <c r="B304" s="38"/>
    </row>
    <row r="305">
      <c r="B305" s="38"/>
    </row>
    <row r="306">
      <c r="B306" s="38"/>
    </row>
    <row r="307">
      <c r="B307" s="38"/>
    </row>
    <row r="308">
      <c r="B308" s="38"/>
    </row>
    <row r="309">
      <c r="B309" s="38"/>
    </row>
    <row r="310">
      <c r="B310" s="38"/>
    </row>
    <row r="311">
      <c r="B311" s="38"/>
    </row>
    <row r="312">
      <c r="B312" s="38"/>
    </row>
    <row r="313">
      <c r="B313" s="38"/>
    </row>
    <row r="314">
      <c r="B314" s="38"/>
    </row>
    <row r="315">
      <c r="B315" s="38"/>
    </row>
    <row r="316">
      <c r="B316" s="38"/>
    </row>
    <row r="317">
      <c r="B317" s="38"/>
    </row>
    <row r="318">
      <c r="B318" s="38"/>
    </row>
    <row r="319">
      <c r="B319" s="38"/>
    </row>
    <row r="320">
      <c r="B320" s="38"/>
    </row>
    <row r="321">
      <c r="B321" s="38"/>
    </row>
    <row r="322">
      <c r="B322" s="38"/>
    </row>
    <row r="323">
      <c r="B323" s="38"/>
    </row>
    <row r="324">
      <c r="B324" s="38"/>
    </row>
    <row r="325">
      <c r="B325" s="38"/>
    </row>
    <row r="326">
      <c r="B326" s="38"/>
    </row>
    <row r="327">
      <c r="B327" s="38"/>
    </row>
    <row r="328">
      <c r="B328" s="38"/>
    </row>
    <row r="329">
      <c r="B329" s="38"/>
    </row>
    <row r="330">
      <c r="B330" s="38"/>
    </row>
    <row r="331">
      <c r="B331" s="38"/>
    </row>
    <row r="332">
      <c r="B332" s="38"/>
    </row>
    <row r="333">
      <c r="B333" s="38"/>
    </row>
    <row r="334">
      <c r="B334" s="38"/>
    </row>
    <row r="335">
      <c r="B335" s="38"/>
    </row>
    <row r="336">
      <c r="B336" s="38"/>
    </row>
    <row r="337">
      <c r="B337" s="38"/>
    </row>
    <row r="338">
      <c r="B338" s="38"/>
    </row>
    <row r="339">
      <c r="B339" s="38"/>
    </row>
    <row r="340">
      <c r="B340" s="38"/>
    </row>
    <row r="341">
      <c r="B341" s="38"/>
    </row>
    <row r="342">
      <c r="B342" s="38"/>
    </row>
    <row r="343">
      <c r="B343" s="38"/>
    </row>
    <row r="344">
      <c r="B344" s="38"/>
    </row>
    <row r="345">
      <c r="B345" s="38"/>
    </row>
    <row r="346">
      <c r="B346" s="38"/>
    </row>
    <row r="347">
      <c r="B347" s="38"/>
    </row>
    <row r="348">
      <c r="B348" s="38"/>
    </row>
    <row r="349">
      <c r="B349" s="38"/>
    </row>
    <row r="350">
      <c r="B350" s="38"/>
    </row>
    <row r="351">
      <c r="B351" s="38"/>
    </row>
    <row r="352">
      <c r="B352" s="38"/>
    </row>
    <row r="353">
      <c r="B353" s="38"/>
    </row>
    <row r="354">
      <c r="B354" s="38"/>
    </row>
    <row r="355">
      <c r="B355" s="38"/>
    </row>
    <row r="356">
      <c r="B356" s="38"/>
    </row>
    <row r="357">
      <c r="B357" s="38"/>
    </row>
    <row r="358">
      <c r="B358" s="38"/>
    </row>
    <row r="359">
      <c r="B359" s="38"/>
    </row>
    <row r="360">
      <c r="B360" s="38"/>
    </row>
    <row r="361">
      <c r="B361" s="38"/>
    </row>
    <row r="362">
      <c r="B362" s="38"/>
    </row>
    <row r="363">
      <c r="B363" s="38"/>
    </row>
    <row r="364">
      <c r="B364" s="38"/>
    </row>
    <row r="365">
      <c r="B365" s="38"/>
    </row>
    <row r="366">
      <c r="B366" s="38"/>
    </row>
    <row r="367">
      <c r="B367" s="38"/>
    </row>
    <row r="368">
      <c r="B368" s="38"/>
    </row>
    <row r="369">
      <c r="B369" s="38"/>
    </row>
    <row r="370">
      <c r="B370" s="38"/>
    </row>
    <row r="371">
      <c r="B371" s="38"/>
    </row>
    <row r="372">
      <c r="B372" s="38"/>
    </row>
    <row r="373">
      <c r="B373" s="38"/>
    </row>
    <row r="374">
      <c r="B374" s="38"/>
    </row>
    <row r="375">
      <c r="B375" s="38"/>
    </row>
    <row r="376">
      <c r="B376" s="38"/>
    </row>
    <row r="377">
      <c r="B377" s="38"/>
    </row>
    <row r="378">
      <c r="B378" s="38"/>
    </row>
    <row r="379">
      <c r="B379" s="38"/>
    </row>
    <row r="380">
      <c r="B380" s="38"/>
    </row>
    <row r="381">
      <c r="B381" s="38"/>
    </row>
    <row r="382">
      <c r="B382" s="38"/>
    </row>
    <row r="383">
      <c r="B383" s="38"/>
    </row>
    <row r="384">
      <c r="B384" s="38"/>
    </row>
    <row r="385">
      <c r="B385" s="38"/>
    </row>
    <row r="386">
      <c r="B386" s="38"/>
    </row>
    <row r="387">
      <c r="B387" s="38"/>
    </row>
    <row r="388">
      <c r="B388" s="38"/>
    </row>
    <row r="389">
      <c r="B389" s="38"/>
    </row>
    <row r="390">
      <c r="B390" s="38"/>
    </row>
    <row r="391">
      <c r="B391" s="38"/>
    </row>
    <row r="392">
      <c r="B392" s="38"/>
    </row>
    <row r="393">
      <c r="B393" s="38"/>
    </row>
    <row r="394">
      <c r="B394" s="38"/>
    </row>
    <row r="395">
      <c r="B395" s="38"/>
    </row>
    <row r="396">
      <c r="B396" s="38"/>
    </row>
    <row r="397">
      <c r="B397" s="38"/>
    </row>
    <row r="398">
      <c r="B398" s="38"/>
    </row>
    <row r="399">
      <c r="B399" s="38"/>
    </row>
    <row r="400">
      <c r="B400" s="38"/>
    </row>
    <row r="401">
      <c r="B401" s="38"/>
    </row>
    <row r="402">
      <c r="B402" s="38"/>
    </row>
    <row r="403">
      <c r="B403" s="38"/>
    </row>
    <row r="404">
      <c r="B404" s="38"/>
    </row>
    <row r="405">
      <c r="B405" s="38"/>
    </row>
    <row r="406">
      <c r="B406" s="38"/>
    </row>
    <row r="407">
      <c r="B407" s="38"/>
    </row>
    <row r="408">
      <c r="B408" s="38"/>
    </row>
    <row r="409">
      <c r="B409" s="38"/>
    </row>
    <row r="410">
      <c r="B410" s="38"/>
    </row>
    <row r="411">
      <c r="B411" s="38"/>
    </row>
    <row r="412">
      <c r="B412" s="38"/>
    </row>
    <row r="413">
      <c r="B413" s="38"/>
    </row>
    <row r="414">
      <c r="B414" s="38"/>
    </row>
    <row r="415">
      <c r="B415" s="38"/>
    </row>
    <row r="416">
      <c r="B416" s="38"/>
    </row>
    <row r="417">
      <c r="B417" s="38"/>
    </row>
    <row r="418">
      <c r="B418" s="38"/>
    </row>
    <row r="419">
      <c r="B419" s="38"/>
    </row>
    <row r="420">
      <c r="B420" s="38"/>
    </row>
    <row r="421">
      <c r="B421" s="38"/>
    </row>
    <row r="422">
      <c r="B422" s="38"/>
    </row>
    <row r="423">
      <c r="B423" s="38"/>
    </row>
    <row r="424">
      <c r="B424" s="38"/>
    </row>
    <row r="425">
      <c r="B425" s="38"/>
    </row>
    <row r="426">
      <c r="B426" s="38"/>
    </row>
    <row r="427">
      <c r="B427" s="38"/>
    </row>
    <row r="428">
      <c r="B428" s="38"/>
    </row>
    <row r="429">
      <c r="B429" s="38"/>
    </row>
    <row r="430">
      <c r="B430" s="38"/>
    </row>
    <row r="431">
      <c r="B431" s="38"/>
    </row>
    <row r="432">
      <c r="B432" s="38"/>
    </row>
    <row r="433">
      <c r="B433" s="38"/>
    </row>
    <row r="434">
      <c r="B434" s="38"/>
    </row>
    <row r="435">
      <c r="B435" s="38"/>
    </row>
    <row r="436">
      <c r="B436" s="38"/>
    </row>
    <row r="437">
      <c r="B437" s="38"/>
    </row>
    <row r="438">
      <c r="B438" s="38"/>
    </row>
    <row r="439">
      <c r="B439" s="38"/>
    </row>
    <row r="440">
      <c r="B440" s="38"/>
    </row>
    <row r="441">
      <c r="B441" s="38"/>
    </row>
    <row r="442">
      <c r="B442" s="38"/>
    </row>
    <row r="443">
      <c r="B443" s="38"/>
    </row>
    <row r="444">
      <c r="B444" s="38"/>
    </row>
    <row r="445">
      <c r="B445" s="38"/>
    </row>
    <row r="446">
      <c r="B446" s="38"/>
    </row>
    <row r="447">
      <c r="B447" s="38"/>
    </row>
    <row r="448">
      <c r="B448" s="38"/>
    </row>
    <row r="449">
      <c r="B449" s="38"/>
    </row>
    <row r="450">
      <c r="B450" s="38"/>
    </row>
    <row r="451">
      <c r="B451" s="38"/>
    </row>
    <row r="452">
      <c r="B452" s="38"/>
    </row>
    <row r="453">
      <c r="B453" s="38"/>
    </row>
    <row r="454">
      <c r="B454" s="38"/>
    </row>
    <row r="455">
      <c r="B455" s="38"/>
    </row>
    <row r="456">
      <c r="B456" s="38"/>
    </row>
    <row r="457">
      <c r="B457" s="38"/>
    </row>
    <row r="458">
      <c r="B458" s="38"/>
    </row>
    <row r="459">
      <c r="B459" s="38"/>
    </row>
    <row r="460">
      <c r="B460" s="38"/>
    </row>
    <row r="461">
      <c r="B461" s="38"/>
    </row>
    <row r="462">
      <c r="B462" s="38"/>
    </row>
    <row r="463">
      <c r="B463" s="38"/>
    </row>
    <row r="464">
      <c r="B464" s="38"/>
    </row>
    <row r="465">
      <c r="B465" s="38"/>
    </row>
    <row r="466">
      <c r="B466" s="38"/>
    </row>
    <row r="467">
      <c r="B467" s="38"/>
    </row>
    <row r="468">
      <c r="B468" s="38"/>
    </row>
    <row r="469">
      <c r="B469" s="38"/>
    </row>
    <row r="470">
      <c r="B470" s="38"/>
    </row>
    <row r="471">
      <c r="B471" s="38"/>
    </row>
    <row r="472">
      <c r="B472" s="38"/>
    </row>
    <row r="473">
      <c r="B473" s="38"/>
    </row>
    <row r="474">
      <c r="B474" s="38"/>
    </row>
    <row r="475">
      <c r="B475" s="38"/>
    </row>
    <row r="476">
      <c r="B476" s="38"/>
    </row>
    <row r="477">
      <c r="B477" s="38"/>
    </row>
    <row r="478">
      <c r="B478" s="38"/>
    </row>
    <row r="479">
      <c r="B479" s="38"/>
    </row>
    <row r="480">
      <c r="B480" s="38"/>
    </row>
    <row r="481">
      <c r="B481" s="38"/>
    </row>
    <row r="482">
      <c r="B482" s="38"/>
    </row>
    <row r="483">
      <c r="B483" s="38"/>
    </row>
    <row r="484">
      <c r="B484" s="38"/>
    </row>
    <row r="485">
      <c r="B485" s="38"/>
    </row>
    <row r="486">
      <c r="B486" s="38"/>
    </row>
    <row r="487">
      <c r="B487" s="38"/>
    </row>
    <row r="488">
      <c r="B488" s="38"/>
    </row>
    <row r="489">
      <c r="B489" s="38"/>
    </row>
    <row r="490">
      <c r="B490" s="38"/>
    </row>
    <row r="491">
      <c r="B491" s="38"/>
    </row>
    <row r="492">
      <c r="B492" s="38"/>
    </row>
    <row r="493">
      <c r="B493" s="38"/>
    </row>
    <row r="494">
      <c r="B494" s="38"/>
    </row>
    <row r="495">
      <c r="B495" s="38"/>
    </row>
    <row r="496">
      <c r="B496" s="38"/>
    </row>
    <row r="497">
      <c r="B497" s="38"/>
    </row>
    <row r="498">
      <c r="B498" s="38"/>
    </row>
    <row r="499">
      <c r="B499" s="38"/>
    </row>
    <row r="500">
      <c r="B500" s="38"/>
    </row>
    <row r="501">
      <c r="B501" s="38"/>
    </row>
    <row r="502">
      <c r="B502" s="38"/>
    </row>
    <row r="503">
      <c r="B503" s="38"/>
    </row>
    <row r="504">
      <c r="B504" s="38"/>
    </row>
    <row r="505">
      <c r="B505" s="38"/>
    </row>
    <row r="506">
      <c r="B506" s="38"/>
    </row>
    <row r="507">
      <c r="B507" s="38"/>
    </row>
    <row r="508">
      <c r="B508" s="38"/>
    </row>
    <row r="509">
      <c r="B509" s="38"/>
    </row>
    <row r="510">
      <c r="B510" s="38"/>
    </row>
    <row r="511">
      <c r="B511" s="38"/>
    </row>
    <row r="512">
      <c r="B512" s="38"/>
    </row>
    <row r="513">
      <c r="B513" s="38"/>
    </row>
    <row r="514">
      <c r="B514" s="38"/>
    </row>
    <row r="515">
      <c r="B515" s="38"/>
    </row>
    <row r="516">
      <c r="B516" s="38"/>
    </row>
    <row r="517">
      <c r="B517" s="38"/>
    </row>
    <row r="518">
      <c r="B518" s="38"/>
    </row>
    <row r="519">
      <c r="B519" s="38"/>
    </row>
    <row r="520">
      <c r="B520" s="38"/>
    </row>
    <row r="521">
      <c r="B521" s="38"/>
    </row>
    <row r="522">
      <c r="B522" s="38"/>
    </row>
    <row r="523">
      <c r="B523" s="38"/>
    </row>
    <row r="524">
      <c r="B524" s="38"/>
    </row>
    <row r="525">
      <c r="B525" s="38"/>
    </row>
    <row r="526">
      <c r="B526" s="38"/>
    </row>
    <row r="527">
      <c r="B527" s="38"/>
    </row>
    <row r="528">
      <c r="B528" s="38"/>
    </row>
    <row r="529">
      <c r="B529" s="38"/>
    </row>
    <row r="530">
      <c r="B530" s="38"/>
    </row>
    <row r="531">
      <c r="B531" s="38"/>
    </row>
    <row r="532">
      <c r="B532" s="38"/>
    </row>
    <row r="533">
      <c r="B533" s="38"/>
    </row>
    <row r="534">
      <c r="B534" s="38"/>
    </row>
    <row r="535">
      <c r="B535" s="38"/>
    </row>
    <row r="536">
      <c r="B536" s="38"/>
    </row>
    <row r="537">
      <c r="B537" s="38"/>
    </row>
    <row r="538">
      <c r="B538" s="38"/>
    </row>
    <row r="539">
      <c r="B539" s="38"/>
    </row>
    <row r="540">
      <c r="B540" s="38"/>
    </row>
    <row r="541">
      <c r="B541" s="38"/>
    </row>
    <row r="542">
      <c r="B542" s="38"/>
    </row>
    <row r="543">
      <c r="B543" s="38"/>
    </row>
    <row r="544">
      <c r="B544" s="38"/>
    </row>
    <row r="545">
      <c r="B545" s="38"/>
    </row>
    <row r="546">
      <c r="B546" s="38"/>
    </row>
    <row r="547">
      <c r="B547" s="38"/>
    </row>
    <row r="548">
      <c r="B548" s="38"/>
    </row>
    <row r="549">
      <c r="B549" s="38"/>
    </row>
    <row r="550">
      <c r="B550" s="38"/>
    </row>
    <row r="551">
      <c r="B551" s="38"/>
    </row>
    <row r="552">
      <c r="B552" s="38"/>
    </row>
    <row r="553">
      <c r="B553" s="38"/>
    </row>
    <row r="554">
      <c r="B554" s="38"/>
    </row>
    <row r="555">
      <c r="B555" s="38"/>
    </row>
    <row r="556">
      <c r="B556" s="38"/>
    </row>
    <row r="557">
      <c r="B557" s="38"/>
    </row>
    <row r="558">
      <c r="B558" s="38"/>
    </row>
    <row r="559">
      <c r="B559" s="38"/>
    </row>
    <row r="560">
      <c r="B560" s="38"/>
    </row>
    <row r="561">
      <c r="B561" s="38"/>
    </row>
    <row r="562">
      <c r="B562" s="38"/>
    </row>
    <row r="563">
      <c r="B563" s="38"/>
    </row>
    <row r="564">
      <c r="B564" s="38"/>
    </row>
    <row r="565">
      <c r="B565" s="38"/>
    </row>
    <row r="566">
      <c r="B566" s="38"/>
    </row>
    <row r="567">
      <c r="B567" s="38"/>
    </row>
    <row r="568">
      <c r="B568" s="38"/>
    </row>
    <row r="569">
      <c r="B569" s="38"/>
    </row>
    <row r="570">
      <c r="B570" s="38"/>
    </row>
    <row r="571">
      <c r="B571" s="38"/>
    </row>
    <row r="572">
      <c r="B572" s="38"/>
    </row>
    <row r="573">
      <c r="B573" s="38"/>
    </row>
    <row r="574">
      <c r="B574" s="38"/>
    </row>
    <row r="575">
      <c r="B575" s="38"/>
    </row>
    <row r="576">
      <c r="B576" s="38"/>
    </row>
    <row r="577">
      <c r="B577" s="38"/>
    </row>
    <row r="578">
      <c r="B578" s="38"/>
    </row>
    <row r="579">
      <c r="B579" s="38"/>
    </row>
    <row r="580">
      <c r="B580" s="38"/>
    </row>
    <row r="581">
      <c r="B581" s="38"/>
    </row>
    <row r="582">
      <c r="B582" s="38"/>
    </row>
    <row r="583">
      <c r="B583" s="38"/>
    </row>
    <row r="584">
      <c r="B584" s="38"/>
    </row>
    <row r="585">
      <c r="B585" s="38"/>
    </row>
    <row r="586">
      <c r="B586" s="38"/>
    </row>
    <row r="587">
      <c r="B587" s="38"/>
    </row>
    <row r="588">
      <c r="B588" s="38"/>
    </row>
    <row r="589">
      <c r="B589" s="38"/>
    </row>
    <row r="590">
      <c r="B590" s="38"/>
    </row>
    <row r="591">
      <c r="B591" s="38"/>
    </row>
    <row r="592">
      <c r="B592" s="38"/>
    </row>
    <row r="593">
      <c r="B593" s="38"/>
    </row>
    <row r="594">
      <c r="B594" s="38"/>
    </row>
    <row r="595">
      <c r="B595" s="38"/>
    </row>
    <row r="596">
      <c r="B596" s="38"/>
    </row>
    <row r="597">
      <c r="B597" s="38"/>
    </row>
    <row r="598">
      <c r="B598" s="38"/>
    </row>
    <row r="599">
      <c r="B599" s="38"/>
    </row>
    <row r="600">
      <c r="B600" s="38"/>
    </row>
    <row r="601">
      <c r="B601" s="38"/>
    </row>
    <row r="602">
      <c r="B602" s="38"/>
    </row>
    <row r="603">
      <c r="B603" s="38"/>
    </row>
    <row r="604">
      <c r="B604" s="38"/>
    </row>
    <row r="605">
      <c r="B605" s="38"/>
    </row>
    <row r="606">
      <c r="B606" s="38"/>
    </row>
    <row r="607">
      <c r="B607" s="38"/>
    </row>
    <row r="608">
      <c r="B608" s="38"/>
    </row>
    <row r="609">
      <c r="B609" s="38"/>
    </row>
    <row r="610">
      <c r="B610" s="38"/>
    </row>
    <row r="611">
      <c r="B611" s="38"/>
    </row>
    <row r="612">
      <c r="B612" s="38"/>
    </row>
    <row r="613">
      <c r="B613" s="38"/>
    </row>
    <row r="614">
      <c r="B614" s="38"/>
    </row>
    <row r="615">
      <c r="B615" s="38"/>
    </row>
    <row r="616">
      <c r="B616" s="38"/>
    </row>
    <row r="617">
      <c r="B617" s="38"/>
    </row>
    <row r="618">
      <c r="B618" s="38"/>
    </row>
    <row r="619">
      <c r="B619" s="38"/>
    </row>
    <row r="620">
      <c r="B620" s="38"/>
    </row>
    <row r="621">
      <c r="B621" s="38"/>
    </row>
    <row r="622">
      <c r="B622" s="38"/>
    </row>
    <row r="623">
      <c r="B623" s="38"/>
    </row>
    <row r="624">
      <c r="B624" s="38"/>
    </row>
    <row r="625">
      <c r="B625" s="38"/>
    </row>
    <row r="626">
      <c r="B626" s="38"/>
    </row>
    <row r="627">
      <c r="B627" s="38"/>
    </row>
    <row r="628">
      <c r="B628" s="38"/>
    </row>
    <row r="629">
      <c r="B629" s="38"/>
    </row>
    <row r="630">
      <c r="B630" s="38"/>
    </row>
    <row r="631">
      <c r="B631" s="38"/>
    </row>
    <row r="632">
      <c r="B632" s="38"/>
    </row>
    <row r="633">
      <c r="B633" s="38"/>
    </row>
    <row r="634">
      <c r="B634" s="38"/>
    </row>
    <row r="635">
      <c r="B635" s="38"/>
    </row>
    <row r="636">
      <c r="B636" s="38"/>
    </row>
    <row r="637">
      <c r="B637" s="38"/>
    </row>
    <row r="638">
      <c r="B638" s="38"/>
    </row>
    <row r="639">
      <c r="B639" s="38"/>
    </row>
    <row r="640">
      <c r="B640" s="38"/>
    </row>
    <row r="641">
      <c r="B641" s="38"/>
    </row>
    <row r="642">
      <c r="B642" s="38"/>
    </row>
    <row r="643">
      <c r="B643" s="38"/>
    </row>
    <row r="644">
      <c r="B644" s="38"/>
    </row>
    <row r="645">
      <c r="B645" s="38"/>
    </row>
    <row r="646">
      <c r="B646" s="38"/>
    </row>
    <row r="647">
      <c r="B647" s="38"/>
    </row>
    <row r="648">
      <c r="B648" s="38"/>
    </row>
    <row r="649">
      <c r="B649" s="38"/>
    </row>
    <row r="650">
      <c r="B650" s="38"/>
    </row>
    <row r="651">
      <c r="B651" s="38"/>
    </row>
    <row r="652">
      <c r="B652" s="38"/>
    </row>
    <row r="653">
      <c r="B653" s="38"/>
    </row>
    <row r="654">
      <c r="B654" s="38"/>
    </row>
    <row r="655">
      <c r="B655" s="38"/>
    </row>
    <row r="656">
      <c r="B656" s="38"/>
    </row>
    <row r="657">
      <c r="B657" s="38"/>
    </row>
    <row r="658">
      <c r="B658" s="38"/>
    </row>
    <row r="659">
      <c r="B659" s="38"/>
    </row>
    <row r="660">
      <c r="B660" s="38"/>
    </row>
    <row r="661">
      <c r="B661" s="38"/>
    </row>
    <row r="662">
      <c r="B662" s="38"/>
    </row>
    <row r="663">
      <c r="B663" s="38"/>
    </row>
    <row r="664">
      <c r="B664" s="38"/>
    </row>
    <row r="665">
      <c r="B665" s="38"/>
    </row>
    <row r="666">
      <c r="B666" s="38"/>
    </row>
    <row r="667">
      <c r="B667" s="38"/>
    </row>
    <row r="668">
      <c r="B668" s="38"/>
    </row>
    <row r="669">
      <c r="B669" s="38"/>
    </row>
    <row r="670">
      <c r="B670" s="38"/>
    </row>
    <row r="671">
      <c r="B671" s="38"/>
    </row>
    <row r="672">
      <c r="B672" s="38"/>
    </row>
    <row r="673">
      <c r="B673" s="38"/>
    </row>
    <row r="674">
      <c r="B674" s="38"/>
    </row>
    <row r="675">
      <c r="B675" s="38"/>
    </row>
    <row r="676">
      <c r="B676" s="38"/>
    </row>
    <row r="677">
      <c r="B677" s="38"/>
    </row>
    <row r="678">
      <c r="B678" s="38"/>
    </row>
    <row r="679">
      <c r="B679" s="38"/>
    </row>
    <row r="680">
      <c r="B680" s="38"/>
    </row>
    <row r="681">
      <c r="B681" s="38"/>
    </row>
    <row r="682">
      <c r="B682" s="38"/>
    </row>
    <row r="683">
      <c r="B683" s="38"/>
    </row>
    <row r="684">
      <c r="B684" s="38"/>
    </row>
    <row r="685">
      <c r="B685" s="38"/>
    </row>
    <row r="686">
      <c r="B686" s="38"/>
    </row>
    <row r="687">
      <c r="B687" s="38"/>
    </row>
    <row r="688">
      <c r="B688" s="38"/>
    </row>
    <row r="689">
      <c r="B689" s="38"/>
    </row>
    <row r="690">
      <c r="B690" s="38"/>
    </row>
    <row r="691">
      <c r="B691" s="38"/>
    </row>
    <row r="692">
      <c r="B692" s="38"/>
    </row>
    <row r="693">
      <c r="B693" s="38"/>
    </row>
    <row r="694">
      <c r="B694" s="38"/>
    </row>
    <row r="695">
      <c r="B695" s="38"/>
    </row>
    <row r="696">
      <c r="B696" s="38"/>
    </row>
    <row r="697">
      <c r="B697" s="38"/>
    </row>
    <row r="698">
      <c r="B698" s="38"/>
    </row>
    <row r="699">
      <c r="B699" s="38"/>
    </row>
    <row r="700">
      <c r="B700" s="38"/>
    </row>
    <row r="701">
      <c r="B701" s="38"/>
    </row>
    <row r="702">
      <c r="B702" s="38"/>
    </row>
    <row r="703">
      <c r="B703" s="38"/>
    </row>
    <row r="704">
      <c r="B704" s="38"/>
    </row>
    <row r="705">
      <c r="B705" s="38"/>
    </row>
    <row r="706">
      <c r="B706" s="38"/>
    </row>
    <row r="707">
      <c r="B707" s="38"/>
    </row>
    <row r="708">
      <c r="B708" s="38"/>
    </row>
    <row r="709">
      <c r="B709" s="38"/>
    </row>
    <row r="710">
      <c r="B710" s="38"/>
    </row>
    <row r="711">
      <c r="B711" s="38"/>
    </row>
    <row r="712">
      <c r="B712" s="38"/>
    </row>
    <row r="713">
      <c r="B713" s="38"/>
    </row>
    <row r="714">
      <c r="B714" s="38"/>
    </row>
    <row r="715">
      <c r="B715" s="38"/>
    </row>
    <row r="716">
      <c r="B716" s="38"/>
    </row>
    <row r="717">
      <c r="B717" s="38"/>
    </row>
    <row r="718">
      <c r="B718" s="38"/>
    </row>
    <row r="719">
      <c r="B719" s="38"/>
    </row>
    <row r="720">
      <c r="B720" s="38"/>
    </row>
    <row r="721">
      <c r="B721" s="38"/>
    </row>
    <row r="722">
      <c r="B722" s="38"/>
    </row>
    <row r="723">
      <c r="B723" s="38"/>
    </row>
    <row r="724">
      <c r="B724" s="38"/>
    </row>
    <row r="725">
      <c r="B725" s="38"/>
    </row>
    <row r="726">
      <c r="B726" s="38"/>
    </row>
    <row r="727">
      <c r="B727" s="38"/>
    </row>
    <row r="728">
      <c r="B728" s="38"/>
    </row>
    <row r="729">
      <c r="B729" s="38"/>
    </row>
    <row r="730">
      <c r="B730" s="38"/>
    </row>
    <row r="731">
      <c r="B731" s="38"/>
    </row>
    <row r="732">
      <c r="B732" s="38"/>
    </row>
    <row r="733">
      <c r="B733" s="38"/>
    </row>
    <row r="734">
      <c r="B734" s="38"/>
    </row>
    <row r="735">
      <c r="B735" s="38"/>
    </row>
    <row r="736">
      <c r="B736" s="38"/>
    </row>
    <row r="737">
      <c r="B737" s="38"/>
    </row>
    <row r="738">
      <c r="B738" s="38"/>
    </row>
    <row r="739">
      <c r="B739" s="38"/>
    </row>
    <row r="740">
      <c r="B740" s="38"/>
    </row>
    <row r="741">
      <c r="B741" s="38"/>
    </row>
    <row r="742">
      <c r="B742" s="38"/>
    </row>
    <row r="743">
      <c r="B743" s="38"/>
    </row>
    <row r="744">
      <c r="B744" s="38"/>
    </row>
    <row r="745">
      <c r="B745" s="38"/>
    </row>
    <row r="746">
      <c r="B746" s="38"/>
    </row>
    <row r="747">
      <c r="B747" s="38"/>
    </row>
    <row r="748">
      <c r="B748" s="38"/>
    </row>
    <row r="749">
      <c r="B749" s="38"/>
    </row>
    <row r="750">
      <c r="B750" s="38"/>
    </row>
    <row r="751">
      <c r="B751" s="38"/>
    </row>
    <row r="752">
      <c r="B752" s="38"/>
    </row>
    <row r="753">
      <c r="B753" s="38"/>
    </row>
    <row r="754">
      <c r="B754" s="38"/>
    </row>
    <row r="755">
      <c r="B755" s="38"/>
    </row>
    <row r="756">
      <c r="B756" s="38"/>
    </row>
    <row r="757">
      <c r="B757" s="38"/>
    </row>
    <row r="758">
      <c r="B758" s="38"/>
    </row>
    <row r="759">
      <c r="B759" s="38"/>
    </row>
    <row r="760">
      <c r="B760" s="38"/>
    </row>
    <row r="761">
      <c r="B761" s="38"/>
    </row>
    <row r="762">
      <c r="B762" s="38"/>
    </row>
    <row r="763">
      <c r="B763" s="38"/>
    </row>
    <row r="764">
      <c r="B764" s="38"/>
    </row>
    <row r="765">
      <c r="B765" s="38"/>
    </row>
    <row r="766">
      <c r="B766" s="38"/>
    </row>
    <row r="767">
      <c r="B767" s="38"/>
    </row>
    <row r="768">
      <c r="B768" s="38"/>
    </row>
    <row r="769">
      <c r="B769" s="38"/>
    </row>
    <row r="770">
      <c r="B770" s="38"/>
    </row>
    <row r="771">
      <c r="B771" s="38"/>
    </row>
    <row r="772">
      <c r="B772" s="38"/>
    </row>
    <row r="773">
      <c r="B773" s="38"/>
    </row>
    <row r="774">
      <c r="B774" s="38"/>
    </row>
    <row r="775">
      <c r="B775" s="38"/>
    </row>
    <row r="776">
      <c r="B776" s="38"/>
    </row>
    <row r="777">
      <c r="B777" s="38"/>
    </row>
    <row r="778">
      <c r="B778" s="38"/>
    </row>
    <row r="779">
      <c r="B779" s="38"/>
    </row>
    <row r="780">
      <c r="B780" s="38"/>
    </row>
    <row r="781">
      <c r="B781" s="38"/>
    </row>
    <row r="782">
      <c r="B782" s="38"/>
    </row>
    <row r="783">
      <c r="B783" s="38"/>
    </row>
    <row r="784">
      <c r="B784" s="38"/>
    </row>
    <row r="785">
      <c r="B785" s="38"/>
    </row>
    <row r="786">
      <c r="B786" s="38"/>
    </row>
    <row r="787">
      <c r="B787" s="38"/>
    </row>
    <row r="788">
      <c r="B788" s="38"/>
    </row>
    <row r="789">
      <c r="B789" s="38"/>
    </row>
    <row r="790">
      <c r="B790" s="38"/>
    </row>
    <row r="791">
      <c r="B791" s="38"/>
    </row>
    <row r="792">
      <c r="B792" s="38"/>
    </row>
    <row r="793">
      <c r="B793" s="38"/>
    </row>
    <row r="794">
      <c r="B794" s="38"/>
    </row>
    <row r="795">
      <c r="B795" s="38"/>
    </row>
    <row r="796">
      <c r="B796" s="38"/>
    </row>
    <row r="797">
      <c r="B797" s="38"/>
    </row>
    <row r="798">
      <c r="B798" s="38"/>
    </row>
    <row r="799">
      <c r="B799" s="38"/>
    </row>
    <row r="800">
      <c r="B800" s="38"/>
    </row>
    <row r="801">
      <c r="B801" s="38"/>
    </row>
    <row r="802">
      <c r="B802" s="38"/>
    </row>
    <row r="803">
      <c r="B803" s="38"/>
    </row>
    <row r="804">
      <c r="B804" s="38"/>
    </row>
    <row r="805">
      <c r="B805" s="38"/>
    </row>
    <row r="806">
      <c r="B806" s="38"/>
    </row>
    <row r="807">
      <c r="B807" s="38"/>
    </row>
    <row r="808">
      <c r="B808" s="38"/>
    </row>
    <row r="809">
      <c r="B809" s="38"/>
    </row>
    <row r="810">
      <c r="B810" s="38"/>
    </row>
    <row r="811">
      <c r="B811" s="38"/>
    </row>
    <row r="812">
      <c r="B812" s="38"/>
    </row>
    <row r="813">
      <c r="B813" s="38"/>
    </row>
    <row r="814">
      <c r="B814" s="38"/>
    </row>
    <row r="815">
      <c r="B815" s="38"/>
    </row>
    <row r="816">
      <c r="B816" s="38"/>
    </row>
    <row r="817">
      <c r="B817" s="38"/>
    </row>
    <row r="818">
      <c r="B818" s="38"/>
    </row>
    <row r="819">
      <c r="B819" s="38"/>
    </row>
    <row r="820">
      <c r="B820" s="38"/>
    </row>
    <row r="821">
      <c r="B821" s="38"/>
    </row>
    <row r="822">
      <c r="B822" s="38"/>
    </row>
    <row r="823">
      <c r="B823" s="38"/>
    </row>
    <row r="824">
      <c r="B824" s="38"/>
    </row>
    <row r="825">
      <c r="B825" s="38"/>
    </row>
    <row r="826">
      <c r="B826" s="38"/>
    </row>
    <row r="827">
      <c r="B827" s="38"/>
    </row>
    <row r="828">
      <c r="B828" s="38"/>
    </row>
    <row r="829">
      <c r="B829" s="38"/>
    </row>
    <row r="830">
      <c r="B830" s="38"/>
    </row>
    <row r="831">
      <c r="B831" s="38"/>
    </row>
    <row r="832">
      <c r="B832" s="38"/>
    </row>
    <row r="833">
      <c r="B833" s="38"/>
    </row>
    <row r="834">
      <c r="B834" s="38"/>
    </row>
    <row r="835">
      <c r="B835" s="38"/>
    </row>
    <row r="836">
      <c r="B836" s="38"/>
    </row>
    <row r="837">
      <c r="B837" s="38"/>
    </row>
    <row r="838">
      <c r="B838" s="38"/>
    </row>
    <row r="839">
      <c r="B839" s="38"/>
    </row>
    <row r="840">
      <c r="B840" s="38"/>
    </row>
    <row r="841">
      <c r="B841" s="38"/>
    </row>
    <row r="842">
      <c r="B842" s="38"/>
    </row>
    <row r="843">
      <c r="B843" s="38"/>
    </row>
    <row r="844">
      <c r="B844" s="38"/>
    </row>
    <row r="845">
      <c r="B845" s="38"/>
    </row>
    <row r="846">
      <c r="B846" s="38"/>
    </row>
    <row r="847">
      <c r="B847" s="38"/>
    </row>
    <row r="848">
      <c r="B848" s="38"/>
    </row>
    <row r="849">
      <c r="B849" s="38"/>
    </row>
    <row r="850">
      <c r="B850" s="38"/>
    </row>
    <row r="851">
      <c r="B851" s="38"/>
    </row>
    <row r="852">
      <c r="B852" s="38"/>
    </row>
    <row r="853">
      <c r="B853" s="38"/>
    </row>
    <row r="854">
      <c r="B854" s="38"/>
    </row>
    <row r="855">
      <c r="B855" s="38"/>
    </row>
    <row r="856">
      <c r="B856" s="38"/>
    </row>
    <row r="857">
      <c r="B857" s="38"/>
    </row>
    <row r="858">
      <c r="B858" s="38"/>
    </row>
    <row r="859">
      <c r="B859" s="38"/>
    </row>
    <row r="860">
      <c r="B860" s="38"/>
    </row>
    <row r="861">
      <c r="B861" s="38"/>
    </row>
    <row r="862">
      <c r="B862" s="38"/>
    </row>
    <row r="863">
      <c r="B863" s="38"/>
    </row>
    <row r="864">
      <c r="B864" s="38"/>
    </row>
    <row r="865">
      <c r="B865" s="38"/>
    </row>
    <row r="866">
      <c r="B866" s="38"/>
    </row>
    <row r="867">
      <c r="B867" s="38"/>
    </row>
    <row r="868">
      <c r="B868" s="38"/>
    </row>
    <row r="869">
      <c r="B869" s="38"/>
    </row>
    <row r="870">
      <c r="B870" s="38"/>
    </row>
    <row r="871">
      <c r="B871" s="38"/>
    </row>
    <row r="872">
      <c r="B872" s="38"/>
    </row>
    <row r="873">
      <c r="B873" s="38"/>
    </row>
    <row r="874">
      <c r="B874" s="38"/>
    </row>
    <row r="875">
      <c r="B875" s="38"/>
    </row>
    <row r="876">
      <c r="B876" s="38"/>
    </row>
    <row r="877">
      <c r="B877" s="38"/>
    </row>
    <row r="878">
      <c r="B878" s="38"/>
    </row>
    <row r="879">
      <c r="B879" s="38"/>
    </row>
    <row r="880">
      <c r="B880" s="38"/>
    </row>
    <row r="881">
      <c r="B881" s="38"/>
    </row>
    <row r="882">
      <c r="B882" s="38"/>
    </row>
    <row r="883">
      <c r="B883" s="38"/>
    </row>
    <row r="884">
      <c r="B884" s="38"/>
    </row>
    <row r="885">
      <c r="B885" s="38"/>
    </row>
    <row r="886">
      <c r="B886" s="38"/>
    </row>
    <row r="887">
      <c r="B887" s="38"/>
    </row>
    <row r="888">
      <c r="B888" s="38"/>
    </row>
    <row r="889">
      <c r="B889" s="38"/>
    </row>
    <row r="890">
      <c r="B890" s="38"/>
    </row>
    <row r="891">
      <c r="B891" s="38"/>
    </row>
    <row r="892">
      <c r="B892" s="38"/>
    </row>
    <row r="893">
      <c r="B893" s="38"/>
    </row>
    <row r="894">
      <c r="B894" s="38"/>
    </row>
    <row r="895">
      <c r="B895" s="38"/>
    </row>
    <row r="896">
      <c r="B896" s="38"/>
    </row>
    <row r="897">
      <c r="B897" s="38"/>
    </row>
    <row r="898">
      <c r="B898" s="38"/>
    </row>
    <row r="899">
      <c r="B899" s="38"/>
    </row>
    <row r="900">
      <c r="B900" s="38"/>
    </row>
    <row r="901">
      <c r="B901" s="38"/>
    </row>
    <row r="902">
      <c r="B902" s="38"/>
    </row>
    <row r="903">
      <c r="B903" s="38"/>
    </row>
    <row r="904">
      <c r="B904" s="38"/>
    </row>
    <row r="905">
      <c r="B905" s="38"/>
    </row>
    <row r="906">
      <c r="B906" s="38"/>
    </row>
    <row r="907">
      <c r="B907" s="38"/>
    </row>
    <row r="908">
      <c r="B908" s="38"/>
    </row>
    <row r="909">
      <c r="B909" s="38"/>
    </row>
    <row r="910">
      <c r="B910" s="38"/>
    </row>
    <row r="911">
      <c r="B911" s="38"/>
    </row>
    <row r="912">
      <c r="B912" s="38"/>
    </row>
    <row r="913">
      <c r="B913" s="38"/>
    </row>
    <row r="914">
      <c r="B914" s="38"/>
    </row>
    <row r="915">
      <c r="B915" s="38"/>
    </row>
    <row r="916">
      <c r="B916" s="38"/>
    </row>
    <row r="917">
      <c r="B917" s="38"/>
    </row>
    <row r="918">
      <c r="B918" s="38"/>
    </row>
    <row r="919">
      <c r="B919" s="38"/>
    </row>
    <row r="920">
      <c r="B920" s="38"/>
    </row>
    <row r="921">
      <c r="B921" s="38"/>
    </row>
    <row r="922">
      <c r="B922" s="38"/>
    </row>
    <row r="923">
      <c r="B923" s="38"/>
    </row>
    <row r="924">
      <c r="B924" s="38"/>
    </row>
    <row r="925">
      <c r="B925" s="38"/>
    </row>
    <row r="926">
      <c r="B926" s="38"/>
    </row>
    <row r="927">
      <c r="B927" s="38"/>
    </row>
    <row r="928">
      <c r="B928" s="38"/>
    </row>
    <row r="929">
      <c r="B929" s="38"/>
    </row>
    <row r="930">
      <c r="B930" s="38"/>
    </row>
    <row r="931">
      <c r="B931" s="38"/>
    </row>
    <row r="932">
      <c r="B932" s="38"/>
    </row>
    <row r="933">
      <c r="B933" s="38"/>
    </row>
    <row r="934">
      <c r="B934" s="38"/>
    </row>
    <row r="935">
      <c r="B935" s="38"/>
    </row>
    <row r="936">
      <c r="B936" s="38"/>
    </row>
    <row r="937">
      <c r="B937" s="38"/>
    </row>
    <row r="938">
      <c r="B938" s="38"/>
    </row>
    <row r="939">
      <c r="B939" s="38"/>
    </row>
    <row r="940">
      <c r="B940" s="38"/>
    </row>
    <row r="941">
      <c r="B941" s="38"/>
    </row>
    <row r="942">
      <c r="B942" s="38"/>
    </row>
    <row r="943">
      <c r="B943" s="38"/>
    </row>
    <row r="944">
      <c r="B944" s="38"/>
    </row>
    <row r="945">
      <c r="B945" s="38"/>
    </row>
    <row r="946">
      <c r="B946" s="38"/>
    </row>
    <row r="947">
      <c r="B947" s="38"/>
    </row>
    <row r="948">
      <c r="B948" s="38"/>
    </row>
    <row r="949">
      <c r="B949" s="38"/>
    </row>
    <row r="950">
      <c r="B950" s="38"/>
    </row>
    <row r="951">
      <c r="B951" s="38"/>
    </row>
    <row r="952">
      <c r="B952" s="38"/>
    </row>
    <row r="953">
      <c r="B953" s="38"/>
    </row>
    <row r="954">
      <c r="B954" s="38"/>
    </row>
    <row r="955">
      <c r="B955" s="38"/>
    </row>
    <row r="956">
      <c r="B956" s="38"/>
    </row>
    <row r="957">
      <c r="B957" s="38"/>
    </row>
    <row r="958">
      <c r="B958" s="38"/>
    </row>
    <row r="959">
      <c r="B959" s="38"/>
    </row>
    <row r="960">
      <c r="B960" s="38"/>
    </row>
    <row r="961">
      <c r="B961" s="38"/>
    </row>
    <row r="962">
      <c r="B962" s="38"/>
    </row>
    <row r="963">
      <c r="B963" s="38"/>
    </row>
    <row r="964">
      <c r="B964" s="38"/>
    </row>
    <row r="965">
      <c r="B965" s="38"/>
    </row>
    <row r="966">
      <c r="B966" s="38"/>
    </row>
    <row r="967">
      <c r="B967" s="38"/>
    </row>
    <row r="968">
      <c r="B968" s="38"/>
    </row>
    <row r="969">
      <c r="B969" s="38"/>
    </row>
    <row r="970">
      <c r="B970" s="38"/>
    </row>
    <row r="971">
      <c r="B971" s="38"/>
    </row>
    <row r="972">
      <c r="B972" s="38"/>
    </row>
    <row r="973">
      <c r="B973" s="38"/>
    </row>
    <row r="974">
      <c r="B974" s="38"/>
    </row>
    <row r="975">
      <c r="B975" s="38"/>
    </row>
    <row r="976">
      <c r="B976" s="38"/>
    </row>
    <row r="977">
      <c r="B977" s="38"/>
    </row>
    <row r="978">
      <c r="B978" s="38"/>
    </row>
    <row r="979">
      <c r="B979" s="38"/>
    </row>
    <row r="980">
      <c r="B980" s="38"/>
    </row>
    <row r="981">
      <c r="B981" s="38"/>
    </row>
    <row r="982">
      <c r="B982" s="38"/>
    </row>
    <row r="983">
      <c r="B983" s="38"/>
    </row>
    <row r="984">
      <c r="B984" s="38"/>
    </row>
    <row r="985">
      <c r="B985" s="38"/>
    </row>
    <row r="986">
      <c r="B986" s="38"/>
    </row>
    <row r="987">
      <c r="B987" s="38"/>
    </row>
    <row r="988">
      <c r="B988" s="38"/>
    </row>
    <row r="989">
      <c r="B989" s="38"/>
    </row>
    <row r="990">
      <c r="B990" s="38"/>
    </row>
    <row r="991">
      <c r="B991" s="38"/>
    </row>
    <row r="992">
      <c r="B992" s="38"/>
    </row>
    <row r="993">
      <c r="B993" s="38"/>
    </row>
    <row r="994">
      <c r="B994" s="38"/>
    </row>
    <row r="995">
      <c r="B995" s="38"/>
    </row>
    <row r="996">
      <c r="B996" s="38"/>
    </row>
    <row r="997">
      <c r="B997" s="38"/>
    </row>
    <row r="998">
      <c r="B998" s="38"/>
    </row>
    <row r="999">
      <c r="B999" s="38"/>
    </row>
    <row r="1000">
      <c r="B1000" s="38"/>
    </row>
  </sheetData>
  <mergeCells count="17">
    <mergeCell ref="K1:AO1"/>
    <mergeCell ref="B2:B12"/>
    <mergeCell ref="B13:B20"/>
    <mergeCell ref="B21:B28"/>
    <mergeCell ref="B29:B35"/>
    <mergeCell ref="B36:B42"/>
    <mergeCell ref="B43:B49"/>
    <mergeCell ref="B102:B107"/>
    <mergeCell ref="B108:B114"/>
    <mergeCell ref="B115:B124"/>
    <mergeCell ref="B50:B56"/>
    <mergeCell ref="B57:B62"/>
    <mergeCell ref="B63:B70"/>
    <mergeCell ref="B71:B77"/>
    <mergeCell ref="B78:B84"/>
    <mergeCell ref="B85:B95"/>
    <mergeCell ref="B96:B10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75"/>
    <col customWidth="1" min="3" max="3" width="17.75"/>
    <col customWidth="1" min="4" max="4" width="16.63"/>
  </cols>
  <sheetData>
    <row r="13">
      <c r="A13" s="58" t="str">
        <f>'DATA ROOM APARTKOST'!A47</f>
        <v>OCCUPANCY</v>
      </c>
      <c r="B13" s="59" t="str">
        <f>'DATA ROOM APARTKOST'!C49</f>
        <v>REVENUE</v>
      </c>
      <c r="C13" s="60" t="str">
        <f>'DATA ROOM APARTKOST'!A58</f>
        <v>TARGET</v>
      </c>
      <c r="D13" s="61" t="str">
        <f>'DATA ROOM APARTKOST'!A51</f>
        <v>TOTAL KAMAR</v>
      </c>
    </row>
    <row r="14">
      <c r="A14" s="62">
        <f>'DATA ROOM RUKOST'!B131</f>
        <v>0</v>
      </c>
      <c r="B14" s="63">
        <f>'DATA ROOM RUKOST'!B141</f>
        <v>0</v>
      </c>
      <c r="C14" s="64">
        <f>'DATA ROOM RUKOST'!G129</f>
        <v>2656800000</v>
      </c>
      <c r="D14" s="65">
        <f>'DATA ROOM RUKOST'!B129</f>
        <v>123</v>
      </c>
    </row>
    <row r="15">
      <c r="A15" s="66" t="str">
        <f>'DATA ROOM APARTKOST'!A49</f>
        <v>INHOUSE</v>
      </c>
      <c r="B15" s="67">
        <f>'DATA ROOM RUKOST'!B133</f>
        <v>0</v>
      </c>
      <c r="C15" s="68"/>
      <c r="D15" s="68"/>
    </row>
    <row r="16">
      <c r="A16" s="69" t="s">
        <v>41</v>
      </c>
      <c r="B16" s="67">
        <f>'DATA ROOM RUKOST'!B136</f>
        <v>0</v>
      </c>
      <c r="C16" s="68"/>
      <c r="D16" s="68"/>
    </row>
    <row r="17">
      <c r="A17" s="70" t="s">
        <v>43</v>
      </c>
      <c r="B17" s="71">
        <f>'DATA ROOM RUKOST'!B137</f>
        <v>0</v>
      </c>
      <c r="C17" s="68"/>
      <c r="D17" s="68"/>
    </row>
    <row r="18">
      <c r="A18" s="72" t="s">
        <v>41</v>
      </c>
      <c r="B18" s="73">
        <f>'DATA ROOM RUKOST'!D136</f>
        <v>0</v>
      </c>
      <c r="C18" s="68"/>
      <c r="D18" s="68"/>
    </row>
    <row r="19">
      <c r="A19" s="70" t="s">
        <v>43</v>
      </c>
      <c r="B19" s="74">
        <f>'DATA ROOM RUKOST'!D137</f>
        <v>0</v>
      </c>
      <c r="C19" s="68"/>
      <c r="D19" s="6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3" max="3" width="15.25"/>
    <col customWidth="1" min="5" max="5" width="14.63"/>
    <col customWidth="1" min="6" max="10" width="17.88"/>
    <col hidden="1" min="11" max="41" width="12.63"/>
  </cols>
  <sheetData>
    <row r="1">
      <c r="A1" s="75" t="s">
        <v>0</v>
      </c>
      <c r="B1" s="76" t="s">
        <v>1</v>
      </c>
      <c r="C1" s="77" t="s">
        <v>2</v>
      </c>
      <c r="D1" s="78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4" t="s">
        <v>8</v>
      </c>
      <c r="J1" s="4" t="s">
        <v>9</v>
      </c>
      <c r="K1" s="7" t="s">
        <v>10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</row>
    <row r="2">
      <c r="A2" s="79">
        <v>1.0</v>
      </c>
      <c r="B2" s="10" t="s">
        <v>50</v>
      </c>
      <c r="C2" s="11" t="s">
        <v>51</v>
      </c>
      <c r="D2" s="80"/>
      <c r="E2" s="12"/>
      <c r="F2" s="12" t="str">
        <f t="shared" ref="F2:F41" si="1">IF(D2="","Vacant","Inhouse")</f>
        <v>Vacant</v>
      </c>
      <c r="G2" s="12"/>
      <c r="H2" s="13">
        <f t="shared" ref="H2:H41" si="2">G2*$G$44</f>
        <v>0</v>
      </c>
      <c r="I2" s="13"/>
      <c r="J2" s="13"/>
      <c r="K2" s="12">
        <v>1.0</v>
      </c>
      <c r="L2" s="14">
        <v>2.0</v>
      </c>
      <c r="M2" s="14">
        <v>3.0</v>
      </c>
      <c r="N2" s="14">
        <v>4.0</v>
      </c>
      <c r="O2" s="14">
        <v>5.0</v>
      </c>
      <c r="P2" s="14">
        <v>6.0</v>
      </c>
      <c r="Q2" s="14">
        <v>7.0</v>
      </c>
      <c r="R2" s="14">
        <v>8.0</v>
      </c>
      <c r="S2" s="14">
        <v>9.0</v>
      </c>
      <c r="T2" s="14">
        <v>10.0</v>
      </c>
      <c r="U2" s="14">
        <v>11.0</v>
      </c>
      <c r="V2" s="14">
        <v>12.0</v>
      </c>
      <c r="W2" s="14">
        <v>13.0</v>
      </c>
      <c r="X2" s="14">
        <v>14.0</v>
      </c>
      <c r="Y2" s="14">
        <v>15.0</v>
      </c>
      <c r="Z2" s="14">
        <v>16.0</v>
      </c>
      <c r="AA2" s="14">
        <v>17.0</v>
      </c>
      <c r="AB2" s="14">
        <v>18.0</v>
      </c>
      <c r="AC2" s="14">
        <v>19.0</v>
      </c>
      <c r="AD2" s="14">
        <v>20.0</v>
      </c>
      <c r="AE2" s="14">
        <v>21.0</v>
      </c>
      <c r="AF2" s="14">
        <v>22.0</v>
      </c>
      <c r="AG2" s="14">
        <v>23.0</v>
      </c>
      <c r="AH2" s="14">
        <v>24.0</v>
      </c>
      <c r="AI2" s="14">
        <v>25.0</v>
      </c>
      <c r="AJ2" s="14">
        <v>26.0</v>
      </c>
      <c r="AK2" s="14">
        <v>27.0</v>
      </c>
      <c r="AL2" s="14">
        <v>28.0</v>
      </c>
      <c r="AM2" s="14">
        <v>29.0</v>
      </c>
      <c r="AN2" s="14">
        <v>30.0</v>
      </c>
      <c r="AO2" s="14">
        <v>31.0</v>
      </c>
    </row>
    <row r="3">
      <c r="A3" s="79">
        <v>2.0</v>
      </c>
      <c r="B3" s="15"/>
      <c r="C3" s="16" t="s">
        <v>52</v>
      </c>
      <c r="D3" s="80"/>
      <c r="E3" s="12"/>
      <c r="F3" s="12" t="str">
        <f t="shared" si="1"/>
        <v>Vacant</v>
      </c>
      <c r="G3" s="12"/>
      <c r="H3" s="13">
        <f t="shared" si="2"/>
        <v>0</v>
      </c>
      <c r="I3" s="13"/>
      <c r="J3" s="13"/>
      <c r="K3" s="12">
        <v>1.0</v>
      </c>
      <c r="L3" s="14">
        <v>2.0</v>
      </c>
      <c r="M3" s="14">
        <v>3.0</v>
      </c>
      <c r="N3" s="14">
        <v>4.0</v>
      </c>
      <c r="O3" s="14">
        <v>5.0</v>
      </c>
      <c r="P3" s="14">
        <v>6.0</v>
      </c>
      <c r="Q3" s="14">
        <v>7.0</v>
      </c>
      <c r="R3" s="14">
        <v>8.0</v>
      </c>
      <c r="S3" s="14">
        <v>9.0</v>
      </c>
      <c r="T3" s="14">
        <v>10.0</v>
      </c>
      <c r="U3" s="14">
        <v>11.0</v>
      </c>
      <c r="V3" s="14">
        <v>12.0</v>
      </c>
      <c r="W3" s="14">
        <v>13.0</v>
      </c>
      <c r="X3" s="14">
        <v>14.0</v>
      </c>
      <c r="Y3" s="14">
        <v>15.0</v>
      </c>
      <c r="Z3" s="14">
        <v>16.0</v>
      </c>
      <c r="AA3" s="14">
        <v>17.0</v>
      </c>
      <c r="AB3" s="14">
        <v>18.0</v>
      </c>
      <c r="AC3" s="14">
        <v>19.0</v>
      </c>
      <c r="AD3" s="14">
        <v>20.0</v>
      </c>
      <c r="AE3" s="14">
        <v>21.0</v>
      </c>
      <c r="AF3" s="14">
        <v>22.0</v>
      </c>
      <c r="AG3" s="14">
        <v>23.0</v>
      </c>
      <c r="AH3" s="14">
        <v>24.0</v>
      </c>
      <c r="AI3" s="14">
        <v>25.0</v>
      </c>
      <c r="AJ3" s="14">
        <v>26.0</v>
      </c>
      <c r="AK3" s="14">
        <v>27.0</v>
      </c>
      <c r="AL3" s="14">
        <v>28.0</v>
      </c>
      <c r="AM3" s="14">
        <v>29.0</v>
      </c>
      <c r="AN3" s="14">
        <v>30.0</v>
      </c>
      <c r="AO3" s="14">
        <v>31.0</v>
      </c>
    </row>
    <row r="4">
      <c r="A4" s="79">
        <v>3.0</v>
      </c>
      <c r="B4" s="15"/>
      <c r="C4" s="16" t="s">
        <v>53</v>
      </c>
      <c r="D4" s="80"/>
      <c r="E4" s="12"/>
      <c r="F4" s="12" t="str">
        <f t="shared" si="1"/>
        <v>Vacant</v>
      </c>
      <c r="G4" s="12"/>
      <c r="H4" s="13">
        <f t="shared" si="2"/>
        <v>0</v>
      </c>
      <c r="I4" s="13"/>
      <c r="J4" s="13"/>
      <c r="K4" s="12">
        <v>1.0</v>
      </c>
      <c r="L4" s="14">
        <v>2.0</v>
      </c>
      <c r="M4" s="14">
        <v>3.0</v>
      </c>
      <c r="N4" s="14">
        <v>4.0</v>
      </c>
      <c r="O4" s="14">
        <v>5.0</v>
      </c>
      <c r="P4" s="14">
        <v>6.0</v>
      </c>
      <c r="Q4" s="14">
        <v>7.0</v>
      </c>
      <c r="R4" s="14">
        <v>8.0</v>
      </c>
      <c r="S4" s="14">
        <v>9.0</v>
      </c>
      <c r="T4" s="14">
        <v>10.0</v>
      </c>
      <c r="U4" s="14">
        <v>11.0</v>
      </c>
      <c r="V4" s="14">
        <v>12.0</v>
      </c>
      <c r="W4" s="14">
        <v>13.0</v>
      </c>
      <c r="X4" s="14">
        <v>14.0</v>
      </c>
      <c r="Y4" s="14">
        <v>15.0</v>
      </c>
      <c r="Z4" s="14">
        <v>16.0</v>
      </c>
      <c r="AA4" s="14">
        <v>17.0</v>
      </c>
      <c r="AB4" s="14">
        <v>18.0</v>
      </c>
      <c r="AC4" s="14">
        <v>19.0</v>
      </c>
      <c r="AD4" s="14">
        <v>20.0</v>
      </c>
      <c r="AE4" s="14">
        <v>21.0</v>
      </c>
      <c r="AF4" s="14">
        <v>22.0</v>
      </c>
      <c r="AG4" s="14">
        <v>23.0</v>
      </c>
      <c r="AH4" s="14">
        <v>24.0</v>
      </c>
      <c r="AI4" s="14">
        <v>25.0</v>
      </c>
      <c r="AJ4" s="14">
        <v>26.0</v>
      </c>
      <c r="AK4" s="14">
        <v>27.0</v>
      </c>
      <c r="AL4" s="14">
        <v>28.0</v>
      </c>
      <c r="AM4" s="14">
        <v>29.0</v>
      </c>
      <c r="AN4" s="14">
        <v>30.0</v>
      </c>
      <c r="AO4" s="14">
        <v>31.0</v>
      </c>
    </row>
    <row r="5">
      <c r="A5" s="79">
        <v>4.0</v>
      </c>
      <c r="B5" s="17"/>
      <c r="C5" s="16" t="s">
        <v>54</v>
      </c>
      <c r="D5" s="80"/>
      <c r="E5" s="12"/>
      <c r="F5" s="12" t="str">
        <f t="shared" si="1"/>
        <v>Vacant</v>
      </c>
      <c r="G5" s="12"/>
      <c r="H5" s="13">
        <f t="shared" si="2"/>
        <v>0</v>
      </c>
      <c r="I5" s="13"/>
      <c r="J5" s="13"/>
      <c r="K5" s="12">
        <v>1.0</v>
      </c>
      <c r="L5" s="14">
        <v>2.0</v>
      </c>
      <c r="M5" s="14">
        <v>3.0</v>
      </c>
      <c r="N5" s="14">
        <v>4.0</v>
      </c>
      <c r="O5" s="14">
        <v>5.0</v>
      </c>
      <c r="P5" s="14">
        <v>6.0</v>
      </c>
      <c r="Q5" s="14">
        <v>7.0</v>
      </c>
      <c r="R5" s="14">
        <v>8.0</v>
      </c>
      <c r="S5" s="14">
        <v>9.0</v>
      </c>
      <c r="T5" s="14">
        <v>10.0</v>
      </c>
      <c r="U5" s="14">
        <v>11.0</v>
      </c>
      <c r="V5" s="14">
        <v>12.0</v>
      </c>
      <c r="W5" s="14">
        <v>13.0</v>
      </c>
      <c r="X5" s="14">
        <v>14.0</v>
      </c>
      <c r="Y5" s="14">
        <v>15.0</v>
      </c>
      <c r="Z5" s="14">
        <v>16.0</v>
      </c>
      <c r="AA5" s="14">
        <v>17.0</v>
      </c>
      <c r="AB5" s="14">
        <v>18.0</v>
      </c>
      <c r="AC5" s="14">
        <v>19.0</v>
      </c>
      <c r="AD5" s="14">
        <v>20.0</v>
      </c>
      <c r="AE5" s="14">
        <v>21.0</v>
      </c>
      <c r="AF5" s="14">
        <v>22.0</v>
      </c>
      <c r="AG5" s="14">
        <v>23.0</v>
      </c>
      <c r="AH5" s="14">
        <v>24.0</v>
      </c>
      <c r="AI5" s="14">
        <v>25.0</v>
      </c>
      <c r="AJ5" s="14">
        <v>26.0</v>
      </c>
      <c r="AK5" s="14">
        <v>27.0</v>
      </c>
      <c r="AL5" s="14">
        <v>28.0</v>
      </c>
      <c r="AM5" s="14">
        <v>29.0</v>
      </c>
      <c r="AN5" s="14">
        <v>30.0</v>
      </c>
      <c r="AO5" s="14">
        <v>31.0</v>
      </c>
    </row>
    <row r="6">
      <c r="A6" s="79">
        <v>5.0</v>
      </c>
      <c r="B6" s="81" t="s">
        <v>55</v>
      </c>
      <c r="C6" s="16" t="s">
        <v>51</v>
      </c>
      <c r="D6" s="80"/>
      <c r="E6" s="12"/>
      <c r="F6" s="12" t="str">
        <f t="shared" si="1"/>
        <v>Vacant</v>
      </c>
      <c r="G6" s="12"/>
      <c r="H6" s="13">
        <f t="shared" si="2"/>
        <v>0</v>
      </c>
      <c r="I6" s="13"/>
      <c r="J6" s="13"/>
      <c r="K6" s="12">
        <v>1.0</v>
      </c>
      <c r="L6" s="14">
        <v>2.0</v>
      </c>
      <c r="M6" s="14">
        <v>3.0</v>
      </c>
      <c r="N6" s="14">
        <v>4.0</v>
      </c>
      <c r="O6" s="14">
        <v>5.0</v>
      </c>
      <c r="P6" s="14">
        <v>6.0</v>
      </c>
      <c r="Q6" s="14">
        <v>7.0</v>
      </c>
      <c r="R6" s="14">
        <v>8.0</v>
      </c>
      <c r="S6" s="14">
        <v>9.0</v>
      </c>
      <c r="T6" s="14">
        <v>10.0</v>
      </c>
      <c r="U6" s="14">
        <v>11.0</v>
      </c>
      <c r="V6" s="14">
        <v>12.0</v>
      </c>
      <c r="W6" s="14">
        <v>13.0</v>
      </c>
      <c r="X6" s="14">
        <v>14.0</v>
      </c>
      <c r="Y6" s="14">
        <v>15.0</v>
      </c>
      <c r="Z6" s="14">
        <v>16.0</v>
      </c>
      <c r="AA6" s="14">
        <v>17.0</v>
      </c>
      <c r="AB6" s="14">
        <v>18.0</v>
      </c>
      <c r="AC6" s="14">
        <v>19.0</v>
      </c>
      <c r="AD6" s="14">
        <v>20.0</v>
      </c>
      <c r="AE6" s="14">
        <v>21.0</v>
      </c>
      <c r="AF6" s="14">
        <v>22.0</v>
      </c>
      <c r="AG6" s="14">
        <v>23.0</v>
      </c>
      <c r="AH6" s="14">
        <v>24.0</v>
      </c>
      <c r="AI6" s="14">
        <v>25.0</v>
      </c>
      <c r="AJ6" s="14">
        <v>26.0</v>
      </c>
      <c r="AK6" s="14">
        <v>27.0</v>
      </c>
      <c r="AL6" s="14">
        <v>28.0</v>
      </c>
      <c r="AM6" s="14">
        <v>29.0</v>
      </c>
      <c r="AN6" s="14">
        <v>30.0</v>
      </c>
      <c r="AO6" s="14">
        <v>31.0</v>
      </c>
    </row>
    <row r="7">
      <c r="A7" s="79">
        <v>6.0</v>
      </c>
      <c r="B7" s="15"/>
      <c r="C7" s="16" t="s">
        <v>52</v>
      </c>
      <c r="D7" s="80"/>
      <c r="E7" s="12"/>
      <c r="F7" s="12" t="str">
        <f t="shared" si="1"/>
        <v>Vacant</v>
      </c>
      <c r="G7" s="12"/>
      <c r="H7" s="13">
        <f t="shared" si="2"/>
        <v>0</v>
      </c>
      <c r="I7" s="13"/>
      <c r="J7" s="13"/>
      <c r="K7" s="12">
        <v>1.0</v>
      </c>
      <c r="L7" s="14">
        <v>2.0</v>
      </c>
      <c r="M7" s="14">
        <v>3.0</v>
      </c>
      <c r="N7" s="14">
        <v>4.0</v>
      </c>
      <c r="O7" s="14">
        <v>5.0</v>
      </c>
      <c r="P7" s="14">
        <v>6.0</v>
      </c>
      <c r="Q7" s="14">
        <v>7.0</v>
      </c>
      <c r="R7" s="14">
        <v>8.0</v>
      </c>
      <c r="S7" s="14">
        <v>9.0</v>
      </c>
      <c r="T7" s="14">
        <v>10.0</v>
      </c>
      <c r="U7" s="14">
        <v>11.0</v>
      </c>
      <c r="V7" s="14">
        <v>12.0</v>
      </c>
      <c r="W7" s="14">
        <v>13.0</v>
      </c>
      <c r="X7" s="14">
        <v>14.0</v>
      </c>
      <c r="Y7" s="14">
        <v>15.0</v>
      </c>
      <c r="Z7" s="14">
        <v>16.0</v>
      </c>
      <c r="AA7" s="14">
        <v>17.0</v>
      </c>
      <c r="AB7" s="14">
        <v>18.0</v>
      </c>
      <c r="AC7" s="14">
        <v>19.0</v>
      </c>
      <c r="AD7" s="14">
        <v>20.0</v>
      </c>
      <c r="AE7" s="14">
        <v>21.0</v>
      </c>
      <c r="AF7" s="14">
        <v>22.0</v>
      </c>
      <c r="AG7" s="14">
        <v>23.0</v>
      </c>
      <c r="AH7" s="14">
        <v>24.0</v>
      </c>
      <c r="AI7" s="14">
        <v>25.0</v>
      </c>
      <c r="AJ7" s="14">
        <v>26.0</v>
      </c>
      <c r="AK7" s="14">
        <v>27.0</v>
      </c>
      <c r="AL7" s="14">
        <v>28.0</v>
      </c>
      <c r="AM7" s="14">
        <v>29.0</v>
      </c>
      <c r="AN7" s="14">
        <v>30.0</v>
      </c>
      <c r="AO7" s="14">
        <v>31.0</v>
      </c>
    </row>
    <row r="8">
      <c r="A8" s="79">
        <v>7.0</v>
      </c>
      <c r="B8" s="15"/>
      <c r="C8" s="16" t="s">
        <v>53</v>
      </c>
      <c r="D8" s="80"/>
      <c r="E8" s="12"/>
      <c r="F8" s="12" t="str">
        <f t="shared" si="1"/>
        <v>Vacant</v>
      </c>
      <c r="G8" s="12"/>
      <c r="H8" s="13">
        <f t="shared" si="2"/>
        <v>0</v>
      </c>
      <c r="I8" s="13"/>
      <c r="J8" s="13"/>
      <c r="K8" s="12">
        <v>1.0</v>
      </c>
      <c r="L8" s="14">
        <v>2.0</v>
      </c>
      <c r="M8" s="14">
        <v>3.0</v>
      </c>
      <c r="N8" s="14">
        <v>4.0</v>
      </c>
      <c r="O8" s="14">
        <v>5.0</v>
      </c>
      <c r="P8" s="14">
        <v>6.0</v>
      </c>
      <c r="Q8" s="14">
        <v>7.0</v>
      </c>
      <c r="R8" s="14">
        <v>8.0</v>
      </c>
      <c r="S8" s="14">
        <v>9.0</v>
      </c>
      <c r="T8" s="14">
        <v>10.0</v>
      </c>
      <c r="U8" s="14">
        <v>11.0</v>
      </c>
      <c r="V8" s="14">
        <v>12.0</v>
      </c>
      <c r="W8" s="14">
        <v>13.0</v>
      </c>
      <c r="X8" s="14">
        <v>14.0</v>
      </c>
      <c r="Y8" s="14">
        <v>15.0</v>
      </c>
      <c r="Z8" s="14">
        <v>16.0</v>
      </c>
      <c r="AA8" s="14">
        <v>17.0</v>
      </c>
      <c r="AB8" s="14">
        <v>18.0</v>
      </c>
      <c r="AC8" s="14">
        <v>19.0</v>
      </c>
      <c r="AD8" s="14">
        <v>20.0</v>
      </c>
      <c r="AE8" s="14">
        <v>21.0</v>
      </c>
      <c r="AF8" s="14">
        <v>22.0</v>
      </c>
      <c r="AG8" s="14">
        <v>23.0</v>
      </c>
      <c r="AH8" s="14">
        <v>24.0</v>
      </c>
      <c r="AI8" s="14">
        <v>25.0</v>
      </c>
      <c r="AJ8" s="14">
        <v>26.0</v>
      </c>
      <c r="AK8" s="14">
        <v>27.0</v>
      </c>
      <c r="AL8" s="14">
        <v>28.0</v>
      </c>
      <c r="AM8" s="14">
        <v>29.0</v>
      </c>
      <c r="AN8" s="14">
        <v>30.0</v>
      </c>
      <c r="AO8" s="14">
        <v>31.0</v>
      </c>
    </row>
    <row r="9">
      <c r="A9" s="79">
        <v>8.0</v>
      </c>
      <c r="B9" s="17"/>
      <c r="C9" s="16" t="s">
        <v>54</v>
      </c>
      <c r="D9" s="80"/>
      <c r="E9" s="12"/>
      <c r="F9" s="12" t="str">
        <f t="shared" si="1"/>
        <v>Vacant</v>
      </c>
      <c r="G9" s="12"/>
      <c r="H9" s="13">
        <f t="shared" si="2"/>
        <v>0</v>
      </c>
      <c r="I9" s="13"/>
      <c r="J9" s="13"/>
      <c r="K9" s="12">
        <v>1.0</v>
      </c>
      <c r="L9" s="14">
        <v>2.0</v>
      </c>
      <c r="M9" s="14">
        <v>3.0</v>
      </c>
      <c r="N9" s="14">
        <v>4.0</v>
      </c>
      <c r="O9" s="14">
        <v>5.0</v>
      </c>
      <c r="P9" s="14">
        <v>6.0</v>
      </c>
      <c r="Q9" s="14">
        <v>7.0</v>
      </c>
      <c r="R9" s="14">
        <v>8.0</v>
      </c>
      <c r="S9" s="14">
        <v>9.0</v>
      </c>
      <c r="T9" s="14">
        <v>10.0</v>
      </c>
      <c r="U9" s="14">
        <v>11.0</v>
      </c>
      <c r="V9" s="14">
        <v>12.0</v>
      </c>
      <c r="W9" s="14">
        <v>13.0</v>
      </c>
      <c r="X9" s="14">
        <v>14.0</v>
      </c>
      <c r="Y9" s="14">
        <v>15.0</v>
      </c>
      <c r="Z9" s="14">
        <v>16.0</v>
      </c>
      <c r="AA9" s="14">
        <v>17.0</v>
      </c>
      <c r="AB9" s="14">
        <v>18.0</v>
      </c>
      <c r="AC9" s="14">
        <v>19.0</v>
      </c>
      <c r="AD9" s="14">
        <v>20.0</v>
      </c>
      <c r="AE9" s="14">
        <v>21.0</v>
      </c>
      <c r="AF9" s="14">
        <v>22.0</v>
      </c>
      <c r="AG9" s="14">
        <v>23.0</v>
      </c>
      <c r="AH9" s="14">
        <v>24.0</v>
      </c>
      <c r="AI9" s="14">
        <v>25.0</v>
      </c>
      <c r="AJ9" s="14">
        <v>26.0</v>
      </c>
      <c r="AK9" s="14">
        <v>27.0</v>
      </c>
      <c r="AL9" s="14">
        <v>28.0</v>
      </c>
      <c r="AM9" s="14">
        <v>29.0</v>
      </c>
      <c r="AN9" s="14">
        <v>30.0</v>
      </c>
      <c r="AO9" s="14">
        <v>31.0</v>
      </c>
    </row>
    <row r="10">
      <c r="A10" s="79">
        <v>9.0</v>
      </c>
      <c r="B10" s="81" t="s">
        <v>56</v>
      </c>
      <c r="C10" s="16" t="s">
        <v>51</v>
      </c>
      <c r="D10" s="80"/>
      <c r="E10" s="12"/>
      <c r="F10" s="12" t="str">
        <f t="shared" si="1"/>
        <v>Vacant</v>
      </c>
      <c r="G10" s="12"/>
      <c r="H10" s="13">
        <f t="shared" si="2"/>
        <v>0</v>
      </c>
      <c r="I10" s="13"/>
      <c r="J10" s="13"/>
      <c r="K10" s="12">
        <v>1.0</v>
      </c>
      <c r="L10" s="14">
        <v>2.0</v>
      </c>
      <c r="M10" s="14">
        <v>3.0</v>
      </c>
      <c r="N10" s="14">
        <v>4.0</v>
      </c>
      <c r="O10" s="14">
        <v>5.0</v>
      </c>
      <c r="P10" s="14">
        <v>6.0</v>
      </c>
      <c r="Q10" s="14">
        <v>7.0</v>
      </c>
      <c r="R10" s="14">
        <v>8.0</v>
      </c>
      <c r="S10" s="14">
        <v>9.0</v>
      </c>
      <c r="T10" s="14">
        <v>10.0</v>
      </c>
      <c r="U10" s="14">
        <v>11.0</v>
      </c>
      <c r="V10" s="14">
        <v>12.0</v>
      </c>
      <c r="W10" s="14">
        <v>13.0</v>
      </c>
      <c r="X10" s="14">
        <v>14.0</v>
      </c>
      <c r="Y10" s="14">
        <v>15.0</v>
      </c>
      <c r="Z10" s="14">
        <v>16.0</v>
      </c>
      <c r="AA10" s="14">
        <v>17.0</v>
      </c>
      <c r="AB10" s="14">
        <v>18.0</v>
      </c>
      <c r="AC10" s="14">
        <v>19.0</v>
      </c>
      <c r="AD10" s="14">
        <v>20.0</v>
      </c>
      <c r="AE10" s="14">
        <v>21.0</v>
      </c>
      <c r="AF10" s="14">
        <v>22.0</v>
      </c>
      <c r="AG10" s="14">
        <v>23.0</v>
      </c>
      <c r="AH10" s="14">
        <v>24.0</v>
      </c>
      <c r="AI10" s="14">
        <v>25.0</v>
      </c>
      <c r="AJ10" s="14">
        <v>26.0</v>
      </c>
      <c r="AK10" s="14">
        <v>27.0</v>
      </c>
      <c r="AL10" s="14">
        <v>28.0</v>
      </c>
      <c r="AM10" s="14">
        <v>29.0</v>
      </c>
      <c r="AN10" s="14">
        <v>30.0</v>
      </c>
      <c r="AO10" s="14">
        <v>31.0</v>
      </c>
    </row>
    <row r="11">
      <c r="A11" s="79">
        <v>10.0</v>
      </c>
      <c r="B11" s="15"/>
      <c r="C11" s="16" t="s">
        <v>52</v>
      </c>
      <c r="D11" s="80"/>
      <c r="E11" s="12"/>
      <c r="F11" s="12" t="str">
        <f t="shared" si="1"/>
        <v>Vacant</v>
      </c>
      <c r="G11" s="12"/>
      <c r="H11" s="13">
        <f t="shared" si="2"/>
        <v>0</v>
      </c>
      <c r="I11" s="13"/>
      <c r="J11" s="13"/>
      <c r="K11" s="12">
        <v>1.0</v>
      </c>
      <c r="L11" s="14">
        <v>2.0</v>
      </c>
      <c r="M11" s="14">
        <v>3.0</v>
      </c>
      <c r="N11" s="14">
        <v>4.0</v>
      </c>
      <c r="O11" s="14">
        <v>5.0</v>
      </c>
      <c r="P11" s="14">
        <v>6.0</v>
      </c>
      <c r="Q11" s="14">
        <v>7.0</v>
      </c>
      <c r="R11" s="14">
        <v>8.0</v>
      </c>
      <c r="S11" s="14">
        <v>9.0</v>
      </c>
      <c r="T11" s="14">
        <v>10.0</v>
      </c>
      <c r="U11" s="14">
        <v>11.0</v>
      </c>
      <c r="V11" s="14">
        <v>12.0</v>
      </c>
      <c r="W11" s="14">
        <v>13.0</v>
      </c>
      <c r="X11" s="14">
        <v>14.0</v>
      </c>
      <c r="Y11" s="14">
        <v>15.0</v>
      </c>
      <c r="Z11" s="14">
        <v>16.0</v>
      </c>
      <c r="AA11" s="14">
        <v>17.0</v>
      </c>
      <c r="AB11" s="14">
        <v>18.0</v>
      </c>
      <c r="AC11" s="14">
        <v>19.0</v>
      </c>
      <c r="AD11" s="14">
        <v>20.0</v>
      </c>
      <c r="AE11" s="14">
        <v>21.0</v>
      </c>
      <c r="AF11" s="14">
        <v>22.0</v>
      </c>
      <c r="AG11" s="14">
        <v>23.0</v>
      </c>
      <c r="AH11" s="14">
        <v>24.0</v>
      </c>
      <c r="AI11" s="14">
        <v>25.0</v>
      </c>
      <c r="AJ11" s="14">
        <v>26.0</v>
      </c>
      <c r="AK11" s="14">
        <v>27.0</v>
      </c>
      <c r="AL11" s="14">
        <v>28.0</v>
      </c>
      <c r="AM11" s="14">
        <v>29.0</v>
      </c>
      <c r="AN11" s="14">
        <v>30.0</v>
      </c>
      <c r="AO11" s="14">
        <v>31.0</v>
      </c>
    </row>
    <row r="12">
      <c r="A12" s="79">
        <v>11.0</v>
      </c>
      <c r="B12" s="15"/>
      <c r="C12" s="16" t="s">
        <v>53</v>
      </c>
      <c r="D12" s="80"/>
      <c r="E12" s="12"/>
      <c r="F12" s="12" t="str">
        <f t="shared" si="1"/>
        <v>Vacant</v>
      </c>
      <c r="G12" s="12"/>
      <c r="H12" s="13">
        <f t="shared" si="2"/>
        <v>0</v>
      </c>
      <c r="I12" s="13"/>
      <c r="J12" s="13"/>
      <c r="K12" s="12">
        <v>1.0</v>
      </c>
      <c r="L12" s="14">
        <v>2.0</v>
      </c>
      <c r="M12" s="14">
        <v>3.0</v>
      </c>
      <c r="N12" s="14">
        <v>4.0</v>
      </c>
      <c r="O12" s="14">
        <v>5.0</v>
      </c>
      <c r="P12" s="14">
        <v>6.0</v>
      </c>
      <c r="Q12" s="14">
        <v>7.0</v>
      </c>
      <c r="R12" s="14">
        <v>8.0</v>
      </c>
      <c r="S12" s="14">
        <v>9.0</v>
      </c>
      <c r="T12" s="14">
        <v>10.0</v>
      </c>
      <c r="U12" s="14">
        <v>11.0</v>
      </c>
      <c r="V12" s="14">
        <v>12.0</v>
      </c>
      <c r="W12" s="14">
        <v>13.0</v>
      </c>
      <c r="X12" s="14">
        <v>14.0</v>
      </c>
      <c r="Y12" s="14">
        <v>15.0</v>
      </c>
      <c r="Z12" s="14">
        <v>16.0</v>
      </c>
      <c r="AA12" s="14">
        <v>17.0</v>
      </c>
      <c r="AB12" s="14">
        <v>18.0</v>
      </c>
      <c r="AC12" s="14">
        <v>19.0</v>
      </c>
      <c r="AD12" s="14">
        <v>20.0</v>
      </c>
      <c r="AE12" s="14">
        <v>21.0</v>
      </c>
      <c r="AF12" s="14">
        <v>22.0</v>
      </c>
      <c r="AG12" s="14">
        <v>23.0</v>
      </c>
      <c r="AH12" s="14">
        <v>24.0</v>
      </c>
      <c r="AI12" s="14">
        <v>25.0</v>
      </c>
      <c r="AJ12" s="14">
        <v>26.0</v>
      </c>
      <c r="AK12" s="14">
        <v>27.0</v>
      </c>
      <c r="AL12" s="14">
        <v>28.0</v>
      </c>
      <c r="AM12" s="14">
        <v>29.0</v>
      </c>
      <c r="AN12" s="14">
        <v>30.0</v>
      </c>
      <c r="AO12" s="14">
        <v>31.0</v>
      </c>
    </row>
    <row r="13">
      <c r="A13" s="79">
        <v>12.0</v>
      </c>
      <c r="B13" s="17"/>
      <c r="C13" s="16" t="s">
        <v>54</v>
      </c>
      <c r="D13" s="80"/>
      <c r="E13" s="12"/>
      <c r="F13" s="12" t="str">
        <f t="shared" si="1"/>
        <v>Vacant</v>
      </c>
      <c r="G13" s="12"/>
      <c r="H13" s="13">
        <f t="shared" si="2"/>
        <v>0</v>
      </c>
      <c r="I13" s="13"/>
      <c r="J13" s="13"/>
      <c r="K13" s="12">
        <v>1.0</v>
      </c>
      <c r="L13" s="14">
        <v>2.0</v>
      </c>
      <c r="M13" s="14">
        <v>3.0</v>
      </c>
      <c r="N13" s="14">
        <v>4.0</v>
      </c>
      <c r="O13" s="14">
        <v>5.0</v>
      </c>
      <c r="P13" s="14">
        <v>6.0</v>
      </c>
      <c r="Q13" s="14">
        <v>7.0</v>
      </c>
      <c r="R13" s="14">
        <v>8.0</v>
      </c>
      <c r="S13" s="14">
        <v>9.0</v>
      </c>
      <c r="T13" s="14">
        <v>10.0</v>
      </c>
      <c r="U13" s="14">
        <v>11.0</v>
      </c>
      <c r="V13" s="14">
        <v>12.0</v>
      </c>
      <c r="W13" s="14">
        <v>13.0</v>
      </c>
      <c r="X13" s="14">
        <v>14.0</v>
      </c>
      <c r="Y13" s="14">
        <v>15.0</v>
      </c>
      <c r="Z13" s="14">
        <v>16.0</v>
      </c>
      <c r="AA13" s="14">
        <v>17.0</v>
      </c>
      <c r="AB13" s="14">
        <v>18.0</v>
      </c>
      <c r="AC13" s="14">
        <v>19.0</v>
      </c>
      <c r="AD13" s="14">
        <v>20.0</v>
      </c>
      <c r="AE13" s="14">
        <v>21.0</v>
      </c>
      <c r="AF13" s="14">
        <v>22.0</v>
      </c>
      <c r="AG13" s="14">
        <v>23.0</v>
      </c>
      <c r="AH13" s="14">
        <v>24.0</v>
      </c>
      <c r="AI13" s="14">
        <v>25.0</v>
      </c>
      <c r="AJ13" s="14">
        <v>26.0</v>
      </c>
      <c r="AK13" s="14">
        <v>27.0</v>
      </c>
      <c r="AL13" s="14">
        <v>28.0</v>
      </c>
      <c r="AM13" s="14">
        <v>29.0</v>
      </c>
      <c r="AN13" s="14">
        <v>30.0</v>
      </c>
      <c r="AO13" s="14">
        <v>31.0</v>
      </c>
    </row>
    <row r="14">
      <c r="A14" s="79">
        <v>13.0</v>
      </c>
      <c r="B14" s="81" t="s">
        <v>57</v>
      </c>
      <c r="C14" s="16" t="s">
        <v>51</v>
      </c>
      <c r="D14" s="80"/>
      <c r="E14" s="12"/>
      <c r="F14" s="12" t="str">
        <f t="shared" si="1"/>
        <v>Vacant</v>
      </c>
      <c r="G14" s="12"/>
      <c r="H14" s="13">
        <f t="shared" si="2"/>
        <v>0</v>
      </c>
      <c r="I14" s="13"/>
      <c r="J14" s="13"/>
      <c r="K14" s="12">
        <v>1.0</v>
      </c>
      <c r="L14" s="14">
        <v>2.0</v>
      </c>
      <c r="M14" s="14">
        <v>3.0</v>
      </c>
      <c r="N14" s="14">
        <v>4.0</v>
      </c>
      <c r="O14" s="14">
        <v>5.0</v>
      </c>
      <c r="P14" s="14">
        <v>6.0</v>
      </c>
      <c r="Q14" s="14">
        <v>7.0</v>
      </c>
      <c r="R14" s="14">
        <v>8.0</v>
      </c>
      <c r="S14" s="14">
        <v>9.0</v>
      </c>
      <c r="T14" s="14">
        <v>10.0</v>
      </c>
      <c r="U14" s="14">
        <v>11.0</v>
      </c>
      <c r="V14" s="14">
        <v>12.0</v>
      </c>
      <c r="W14" s="14">
        <v>13.0</v>
      </c>
      <c r="X14" s="14">
        <v>14.0</v>
      </c>
      <c r="Y14" s="14">
        <v>15.0</v>
      </c>
      <c r="Z14" s="14">
        <v>16.0</v>
      </c>
      <c r="AA14" s="14">
        <v>17.0</v>
      </c>
      <c r="AB14" s="14">
        <v>18.0</v>
      </c>
      <c r="AC14" s="14">
        <v>19.0</v>
      </c>
      <c r="AD14" s="14">
        <v>20.0</v>
      </c>
      <c r="AE14" s="14">
        <v>21.0</v>
      </c>
      <c r="AF14" s="14">
        <v>22.0</v>
      </c>
      <c r="AG14" s="14">
        <v>23.0</v>
      </c>
      <c r="AH14" s="14">
        <v>24.0</v>
      </c>
      <c r="AI14" s="14">
        <v>25.0</v>
      </c>
      <c r="AJ14" s="14">
        <v>26.0</v>
      </c>
      <c r="AK14" s="14">
        <v>27.0</v>
      </c>
      <c r="AL14" s="14">
        <v>28.0</v>
      </c>
      <c r="AM14" s="14">
        <v>29.0</v>
      </c>
      <c r="AN14" s="14">
        <v>30.0</v>
      </c>
      <c r="AO14" s="14">
        <v>31.0</v>
      </c>
    </row>
    <row r="15">
      <c r="A15" s="79">
        <v>14.0</v>
      </c>
      <c r="B15" s="15"/>
      <c r="C15" s="16" t="s">
        <v>52</v>
      </c>
      <c r="D15" s="80"/>
      <c r="E15" s="12"/>
      <c r="F15" s="12" t="str">
        <f t="shared" si="1"/>
        <v>Vacant</v>
      </c>
      <c r="G15" s="12"/>
      <c r="H15" s="13">
        <f t="shared" si="2"/>
        <v>0</v>
      </c>
      <c r="I15" s="13"/>
      <c r="J15" s="13"/>
      <c r="K15" s="12">
        <v>1.0</v>
      </c>
      <c r="L15" s="14">
        <v>2.0</v>
      </c>
      <c r="M15" s="14">
        <v>3.0</v>
      </c>
      <c r="N15" s="14">
        <v>4.0</v>
      </c>
      <c r="O15" s="14">
        <v>5.0</v>
      </c>
      <c r="P15" s="14">
        <v>6.0</v>
      </c>
      <c r="Q15" s="14">
        <v>7.0</v>
      </c>
      <c r="R15" s="14">
        <v>8.0</v>
      </c>
      <c r="S15" s="14">
        <v>9.0</v>
      </c>
      <c r="T15" s="14">
        <v>10.0</v>
      </c>
      <c r="U15" s="14">
        <v>11.0</v>
      </c>
      <c r="V15" s="14">
        <v>12.0</v>
      </c>
      <c r="W15" s="14">
        <v>13.0</v>
      </c>
      <c r="X15" s="14">
        <v>14.0</v>
      </c>
      <c r="Y15" s="14">
        <v>15.0</v>
      </c>
      <c r="Z15" s="14">
        <v>16.0</v>
      </c>
      <c r="AA15" s="14">
        <v>17.0</v>
      </c>
      <c r="AB15" s="14">
        <v>18.0</v>
      </c>
      <c r="AC15" s="14">
        <v>19.0</v>
      </c>
      <c r="AD15" s="14">
        <v>20.0</v>
      </c>
      <c r="AE15" s="14">
        <v>21.0</v>
      </c>
      <c r="AF15" s="14">
        <v>22.0</v>
      </c>
      <c r="AG15" s="14">
        <v>23.0</v>
      </c>
      <c r="AH15" s="14">
        <v>24.0</v>
      </c>
      <c r="AI15" s="14">
        <v>25.0</v>
      </c>
      <c r="AJ15" s="14">
        <v>26.0</v>
      </c>
      <c r="AK15" s="14">
        <v>27.0</v>
      </c>
      <c r="AL15" s="14">
        <v>28.0</v>
      </c>
      <c r="AM15" s="14">
        <v>29.0</v>
      </c>
      <c r="AN15" s="14">
        <v>30.0</v>
      </c>
      <c r="AO15" s="14">
        <v>31.0</v>
      </c>
    </row>
    <row r="16">
      <c r="A16" s="79">
        <v>15.0</v>
      </c>
      <c r="B16" s="15"/>
      <c r="C16" s="16" t="s">
        <v>53</v>
      </c>
      <c r="D16" s="80"/>
      <c r="E16" s="12"/>
      <c r="F16" s="12" t="str">
        <f t="shared" si="1"/>
        <v>Vacant</v>
      </c>
      <c r="G16" s="12"/>
      <c r="H16" s="13">
        <f t="shared" si="2"/>
        <v>0</v>
      </c>
      <c r="I16" s="13"/>
      <c r="J16" s="13"/>
      <c r="K16" s="12">
        <v>1.0</v>
      </c>
      <c r="L16" s="14">
        <v>2.0</v>
      </c>
      <c r="M16" s="14">
        <v>3.0</v>
      </c>
      <c r="N16" s="14">
        <v>4.0</v>
      </c>
      <c r="O16" s="14">
        <v>5.0</v>
      </c>
      <c r="P16" s="14">
        <v>6.0</v>
      </c>
      <c r="Q16" s="14">
        <v>7.0</v>
      </c>
      <c r="R16" s="14">
        <v>8.0</v>
      </c>
      <c r="S16" s="14">
        <v>9.0</v>
      </c>
      <c r="T16" s="14">
        <v>10.0</v>
      </c>
      <c r="U16" s="14">
        <v>11.0</v>
      </c>
      <c r="V16" s="14">
        <v>12.0</v>
      </c>
      <c r="W16" s="14">
        <v>13.0</v>
      </c>
      <c r="X16" s="14">
        <v>14.0</v>
      </c>
      <c r="Y16" s="14">
        <v>15.0</v>
      </c>
      <c r="Z16" s="14">
        <v>16.0</v>
      </c>
      <c r="AA16" s="14">
        <v>17.0</v>
      </c>
      <c r="AB16" s="14">
        <v>18.0</v>
      </c>
      <c r="AC16" s="14">
        <v>19.0</v>
      </c>
      <c r="AD16" s="14">
        <v>20.0</v>
      </c>
      <c r="AE16" s="14">
        <v>21.0</v>
      </c>
      <c r="AF16" s="14">
        <v>22.0</v>
      </c>
      <c r="AG16" s="14">
        <v>23.0</v>
      </c>
      <c r="AH16" s="14">
        <v>24.0</v>
      </c>
      <c r="AI16" s="14">
        <v>25.0</v>
      </c>
      <c r="AJ16" s="14">
        <v>26.0</v>
      </c>
      <c r="AK16" s="14">
        <v>27.0</v>
      </c>
      <c r="AL16" s="14">
        <v>28.0</v>
      </c>
      <c r="AM16" s="14">
        <v>29.0</v>
      </c>
      <c r="AN16" s="14">
        <v>30.0</v>
      </c>
      <c r="AO16" s="14">
        <v>31.0</v>
      </c>
    </row>
    <row r="17">
      <c r="A17" s="79">
        <v>16.0</v>
      </c>
      <c r="B17" s="17"/>
      <c r="C17" s="16" t="s">
        <v>54</v>
      </c>
      <c r="D17" s="80"/>
      <c r="E17" s="12"/>
      <c r="F17" s="12" t="str">
        <f t="shared" si="1"/>
        <v>Vacant</v>
      </c>
      <c r="G17" s="12"/>
      <c r="H17" s="13">
        <f t="shared" si="2"/>
        <v>0</v>
      </c>
      <c r="I17" s="13"/>
      <c r="J17" s="13"/>
      <c r="K17" s="12">
        <v>1.0</v>
      </c>
      <c r="L17" s="14">
        <v>2.0</v>
      </c>
      <c r="M17" s="14">
        <v>3.0</v>
      </c>
      <c r="N17" s="14">
        <v>4.0</v>
      </c>
      <c r="O17" s="14">
        <v>5.0</v>
      </c>
      <c r="P17" s="14">
        <v>6.0</v>
      </c>
      <c r="Q17" s="14">
        <v>7.0</v>
      </c>
      <c r="R17" s="14">
        <v>8.0</v>
      </c>
      <c r="S17" s="14">
        <v>9.0</v>
      </c>
      <c r="T17" s="14">
        <v>10.0</v>
      </c>
      <c r="U17" s="14">
        <v>11.0</v>
      </c>
      <c r="V17" s="14">
        <v>12.0</v>
      </c>
      <c r="W17" s="14">
        <v>13.0</v>
      </c>
      <c r="X17" s="14">
        <v>14.0</v>
      </c>
      <c r="Y17" s="14">
        <v>15.0</v>
      </c>
      <c r="Z17" s="14">
        <v>16.0</v>
      </c>
      <c r="AA17" s="14">
        <v>17.0</v>
      </c>
      <c r="AB17" s="14">
        <v>18.0</v>
      </c>
      <c r="AC17" s="14">
        <v>19.0</v>
      </c>
      <c r="AD17" s="14">
        <v>20.0</v>
      </c>
      <c r="AE17" s="14">
        <v>21.0</v>
      </c>
      <c r="AF17" s="14">
        <v>22.0</v>
      </c>
      <c r="AG17" s="14">
        <v>23.0</v>
      </c>
      <c r="AH17" s="14">
        <v>24.0</v>
      </c>
      <c r="AI17" s="14">
        <v>25.0</v>
      </c>
      <c r="AJ17" s="14">
        <v>26.0</v>
      </c>
      <c r="AK17" s="14">
        <v>27.0</v>
      </c>
      <c r="AL17" s="14">
        <v>28.0</v>
      </c>
      <c r="AM17" s="14">
        <v>29.0</v>
      </c>
      <c r="AN17" s="14">
        <v>30.0</v>
      </c>
      <c r="AO17" s="14">
        <v>31.0</v>
      </c>
    </row>
    <row r="18">
      <c r="A18" s="79">
        <v>17.0</v>
      </c>
      <c r="B18" s="82" t="s">
        <v>58</v>
      </c>
      <c r="C18" s="83" t="s">
        <v>51</v>
      </c>
      <c r="D18" s="80"/>
      <c r="E18" s="12"/>
      <c r="F18" s="12" t="str">
        <f t="shared" si="1"/>
        <v>Vacant</v>
      </c>
      <c r="G18" s="12"/>
      <c r="H18" s="13">
        <f t="shared" si="2"/>
        <v>0</v>
      </c>
      <c r="I18" s="13"/>
      <c r="J18" s="13"/>
      <c r="K18" s="12">
        <v>1.0</v>
      </c>
      <c r="L18" s="14">
        <v>2.0</v>
      </c>
      <c r="M18" s="14">
        <v>3.0</v>
      </c>
      <c r="N18" s="14">
        <v>4.0</v>
      </c>
      <c r="O18" s="14">
        <v>5.0</v>
      </c>
      <c r="P18" s="14">
        <v>6.0</v>
      </c>
      <c r="Q18" s="14">
        <v>7.0</v>
      </c>
      <c r="R18" s="14">
        <v>8.0</v>
      </c>
      <c r="S18" s="14">
        <v>9.0</v>
      </c>
      <c r="T18" s="14">
        <v>10.0</v>
      </c>
      <c r="U18" s="14">
        <v>11.0</v>
      </c>
      <c r="V18" s="14">
        <v>12.0</v>
      </c>
      <c r="W18" s="14">
        <v>13.0</v>
      </c>
      <c r="X18" s="14">
        <v>14.0</v>
      </c>
      <c r="Y18" s="14">
        <v>15.0</v>
      </c>
      <c r="Z18" s="14">
        <v>16.0</v>
      </c>
      <c r="AA18" s="14">
        <v>17.0</v>
      </c>
      <c r="AB18" s="14">
        <v>18.0</v>
      </c>
      <c r="AC18" s="14">
        <v>19.0</v>
      </c>
      <c r="AD18" s="14">
        <v>20.0</v>
      </c>
      <c r="AE18" s="14">
        <v>21.0</v>
      </c>
      <c r="AF18" s="14">
        <v>22.0</v>
      </c>
      <c r="AG18" s="14">
        <v>23.0</v>
      </c>
      <c r="AH18" s="14">
        <v>24.0</v>
      </c>
      <c r="AI18" s="14">
        <v>25.0</v>
      </c>
      <c r="AJ18" s="14">
        <v>26.0</v>
      </c>
      <c r="AK18" s="14">
        <v>27.0</v>
      </c>
      <c r="AL18" s="14">
        <v>28.0</v>
      </c>
      <c r="AM18" s="14">
        <v>29.0</v>
      </c>
      <c r="AN18" s="14">
        <v>30.0</v>
      </c>
      <c r="AO18" s="14">
        <v>31.0</v>
      </c>
    </row>
    <row r="19">
      <c r="A19" s="79">
        <v>18.0</v>
      </c>
      <c r="B19" s="15"/>
      <c r="C19" s="83" t="s">
        <v>52</v>
      </c>
      <c r="D19" s="80"/>
      <c r="E19" s="12"/>
      <c r="F19" s="12" t="str">
        <f t="shared" si="1"/>
        <v>Vacant</v>
      </c>
      <c r="G19" s="12"/>
      <c r="H19" s="13">
        <f t="shared" si="2"/>
        <v>0</v>
      </c>
      <c r="I19" s="13"/>
      <c r="J19" s="13"/>
      <c r="K19" s="12">
        <v>1.0</v>
      </c>
      <c r="L19" s="14">
        <v>2.0</v>
      </c>
      <c r="M19" s="14">
        <v>3.0</v>
      </c>
      <c r="N19" s="14">
        <v>4.0</v>
      </c>
      <c r="O19" s="14">
        <v>5.0</v>
      </c>
      <c r="P19" s="14">
        <v>6.0</v>
      </c>
      <c r="Q19" s="14">
        <v>7.0</v>
      </c>
      <c r="R19" s="14">
        <v>8.0</v>
      </c>
      <c r="S19" s="14">
        <v>9.0</v>
      </c>
      <c r="T19" s="14">
        <v>10.0</v>
      </c>
      <c r="U19" s="14">
        <v>11.0</v>
      </c>
      <c r="V19" s="14">
        <v>12.0</v>
      </c>
      <c r="W19" s="14">
        <v>13.0</v>
      </c>
      <c r="X19" s="14">
        <v>14.0</v>
      </c>
      <c r="Y19" s="14">
        <v>15.0</v>
      </c>
      <c r="Z19" s="14">
        <v>16.0</v>
      </c>
      <c r="AA19" s="14">
        <v>17.0</v>
      </c>
      <c r="AB19" s="14">
        <v>18.0</v>
      </c>
      <c r="AC19" s="14">
        <v>19.0</v>
      </c>
      <c r="AD19" s="14">
        <v>20.0</v>
      </c>
      <c r="AE19" s="14">
        <v>21.0</v>
      </c>
      <c r="AF19" s="14">
        <v>22.0</v>
      </c>
      <c r="AG19" s="14">
        <v>23.0</v>
      </c>
      <c r="AH19" s="14">
        <v>24.0</v>
      </c>
      <c r="AI19" s="14">
        <v>25.0</v>
      </c>
      <c r="AJ19" s="14">
        <v>26.0</v>
      </c>
      <c r="AK19" s="14">
        <v>27.0</v>
      </c>
      <c r="AL19" s="14">
        <v>28.0</v>
      </c>
      <c r="AM19" s="14">
        <v>29.0</v>
      </c>
      <c r="AN19" s="14">
        <v>30.0</v>
      </c>
      <c r="AO19" s="14">
        <v>31.0</v>
      </c>
    </row>
    <row r="20">
      <c r="A20" s="79">
        <v>19.0</v>
      </c>
      <c r="B20" s="15"/>
      <c r="C20" s="83" t="s">
        <v>53</v>
      </c>
      <c r="D20" s="80"/>
      <c r="E20" s="12"/>
      <c r="F20" s="12" t="str">
        <f t="shared" si="1"/>
        <v>Vacant</v>
      </c>
      <c r="G20" s="12"/>
      <c r="H20" s="13">
        <f t="shared" si="2"/>
        <v>0</v>
      </c>
      <c r="I20" s="13"/>
      <c r="J20" s="13"/>
      <c r="K20" s="12">
        <v>1.0</v>
      </c>
      <c r="L20" s="14">
        <v>2.0</v>
      </c>
      <c r="M20" s="14">
        <v>3.0</v>
      </c>
      <c r="N20" s="14">
        <v>4.0</v>
      </c>
      <c r="O20" s="14">
        <v>5.0</v>
      </c>
      <c r="P20" s="14">
        <v>6.0</v>
      </c>
      <c r="Q20" s="14">
        <v>7.0</v>
      </c>
      <c r="R20" s="14">
        <v>8.0</v>
      </c>
      <c r="S20" s="14">
        <v>9.0</v>
      </c>
      <c r="T20" s="14">
        <v>10.0</v>
      </c>
      <c r="U20" s="14">
        <v>11.0</v>
      </c>
      <c r="V20" s="14">
        <v>12.0</v>
      </c>
      <c r="W20" s="14">
        <v>13.0</v>
      </c>
      <c r="X20" s="14">
        <v>14.0</v>
      </c>
      <c r="Y20" s="14">
        <v>15.0</v>
      </c>
      <c r="Z20" s="14">
        <v>16.0</v>
      </c>
      <c r="AA20" s="14">
        <v>17.0</v>
      </c>
      <c r="AB20" s="14">
        <v>18.0</v>
      </c>
      <c r="AC20" s="14">
        <v>19.0</v>
      </c>
      <c r="AD20" s="14">
        <v>20.0</v>
      </c>
      <c r="AE20" s="14">
        <v>21.0</v>
      </c>
      <c r="AF20" s="14">
        <v>22.0</v>
      </c>
      <c r="AG20" s="14">
        <v>23.0</v>
      </c>
      <c r="AH20" s="14">
        <v>24.0</v>
      </c>
      <c r="AI20" s="14">
        <v>25.0</v>
      </c>
      <c r="AJ20" s="14">
        <v>26.0</v>
      </c>
      <c r="AK20" s="14">
        <v>27.0</v>
      </c>
      <c r="AL20" s="14">
        <v>28.0</v>
      </c>
      <c r="AM20" s="14">
        <v>29.0</v>
      </c>
      <c r="AN20" s="14">
        <v>30.0</v>
      </c>
      <c r="AO20" s="14">
        <v>31.0</v>
      </c>
    </row>
    <row r="21">
      <c r="A21" s="79">
        <v>20.0</v>
      </c>
      <c r="B21" s="17"/>
      <c r="C21" s="83" t="s">
        <v>54</v>
      </c>
      <c r="D21" s="80"/>
      <c r="E21" s="12"/>
      <c r="F21" s="12" t="str">
        <f t="shared" si="1"/>
        <v>Vacant</v>
      </c>
      <c r="G21" s="12"/>
      <c r="H21" s="13">
        <f t="shared" si="2"/>
        <v>0</v>
      </c>
      <c r="I21" s="13"/>
      <c r="J21" s="13"/>
      <c r="K21" s="12">
        <v>1.0</v>
      </c>
      <c r="L21" s="14">
        <v>2.0</v>
      </c>
      <c r="M21" s="14">
        <v>3.0</v>
      </c>
      <c r="N21" s="14">
        <v>4.0</v>
      </c>
      <c r="O21" s="14">
        <v>5.0</v>
      </c>
      <c r="P21" s="14">
        <v>6.0</v>
      </c>
      <c r="Q21" s="14">
        <v>7.0</v>
      </c>
      <c r="R21" s="14">
        <v>8.0</v>
      </c>
      <c r="S21" s="14">
        <v>9.0</v>
      </c>
      <c r="T21" s="14">
        <v>10.0</v>
      </c>
      <c r="U21" s="14">
        <v>11.0</v>
      </c>
      <c r="V21" s="14">
        <v>12.0</v>
      </c>
      <c r="W21" s="14">
        <v>13.0</v>
      </c>
      <c r="X21" s="14">
        <v>14.0</v>
      </c>
      <c r="Y21" s="14">
        <v>15.0</v>
      </c>
      <c r="Z21" s="14">
        <v>16.0</v>
      </c>
      <c r="AA21" s="14">
        <v>17.0</v>
      </c>
      <c r="AB21" s="14">
        <v>18.0</v>
      </c>
      <c r="AC21" s="14">
        <v>19.0</v>
      </c>
      <c r="AD21" s="14">
        <v>20.0</v>
      </c>
      <c r="AE21" s="14">
        <v>21.0</v>
      </c>
      <c r="AF21" s="14">
        <v>22.0</v>
      </c>
      <c r="AG21" s="14">
        <v>23.0</v>
      </c>
      <c r="AH21" s="14">
        <v>24.0</v>
      </c>
      <c r="AI21" s="14">
        <v>25.0</v>
      </c>
      <c r="AJ21" s="14">
        <v>26.0</v>
      </c>
      <c r="AK21" s="14">
        <v>27.0</v>
      </c>
      <c r="AL21" s="14">
        <v>28.0</v>
      </c>
      <c r="AM21" s="14">
        <v>29.0</v>
      </c>
      <c r="AN21" s="14">
        <v>30.0</v>
      </c>
      <c r="AO21" s="14">
        <v>31.0</v>
      </c>
    </row>
    <row r="22">
      <c r="A22" s="79">
        <v>21.0</v>
      </c>
      <c r="B22" s="82" t="s">
        <v>59</v>
      </c>
      <c r="C22" s="83" t="s">
        <v>51</v>
      </c>
      <c r="D22" s="80"/>
      <c r="E22" s="12"/>
      <c r="F22" s="12" t="str">
        <f t="shared" si="1"/>
        <v>Vacant</v>
      </c>
      <c r="G22" s="12"/>
      <c r="H22" s="13">
        <f t="shared" si="2"/>
        <v>0</v>
      </c>
      <c r="I22" s="13"/>
      <c r="J22" s="13"/>
      <c r="K22" s="12">
        <v>1.0</v>
      </c>
      <c r="L22" s="14">
        <v>2.0</v>
      </c>
      <c r="M22" s="14">
        <v>3.0</v>
      </c>
      <c r="N22" s="14">
        <v>4.0</v>
      </c>
      <c r="O22" s="14">
        <v>5.0</v>
      </c>
      <c r="P22" s="14">
        <v>6.0</v>
      </c>
      <c r="Q22" s="14">
        <v>7.0</v>
      </c>
      <c r="R22" s="14">
        <v>8.0</v>
      </c>
      <c r="S22" s="14">
        <v>9.0</v>
      </c>
      <c r="T22" s="14">
        <v>10.0</v>
      </c>
      <c r="U22" s="14">
        <v>11.0</v>
      </c>
      <c r="V22" s="14">
        <v>12.0</v>
      </c>
      <c r="W22" s="14">
        <v>13.0</v>
      </c>
      <c r="X22" s="14">
        <v>14.0</v>
      </c>
      <c r="Y22" s="14">
        <v>15.0</v>
      </c>
      <c r="Z22" s="14">
        <v>16.0</v>
      </c>
      <c r="AA22" s="14">
        <v>17.0</v>
      </c>
      <c r="AB22" s="14">
        <v>18.0</v>
      </c>
      <c r="AC22" s="14">
        <v>19.0</v>
      </c>
      <c r="AD22" s="14">
        <v>20.0</v>
      </c>
      <c r="AE22" s="14">
        <v>21.0</v>
      </c>
      <c r="AF22" s="14">
        <v>22.0</v>
      </c>
      <c r="AG22" s="14">
        <v>23.0</v>
      </c>
      <c r="AH22" s="14">
        <v>24.0</v>
      </c>
      <c r="AI22" s="14">
        <v>25.0</v>
      </c>
      <c r="AJ22" s="14">
        <v>26.0</v>
      </c>
      <c r="AK22" s="14">
        <v>27.0</v>
      </c>
      <c r="AL22" s="14">
        <v>28.0</v>
      </c>
      <c r="AM22" s="14">
        <v>29.0</v>
      </c>
      <c r="AN22" s="14">
        <v>30.0</v>
      </c>
      <c r="AO22" s="14">
        <v>31.0</v>
      </c>
    </row>
    <row r="23">
      <c r="A23" s="79">
        <v>22.0</v>
      </c>
      <c r="B23" s="15"/>
      <c r="C23" s="83" t="s">
        <v>52</v>
      </c>
      <c r="D23" s="80"/>
      <c r="E23" s="12"/>
      <c r="F23" s="12" t="str">
        <f t="shared" si="1"/>
        <v>Vacant</v>
      </c>
      <c r="G23" s="12"/>
      <c r="H23" s="13">
        <f t="shared" si="2"/>
        <v>0</v>
      </c>
      <c r="I23" s="13"/>
      <c r="J23" s="13"/>
      <c r="K23" s="12">
        <v>1.0</v>
      </c>
      <c r="L23" s="14">
        <v>2.0</v>
      </c>
      <c r="M23" s="14">
        <v>3.0</v>
      </c>
      <c r="N23" s="14">
        <v>4.0</v>
      </c>
      <c r="O23" s="14">
        <v>5.0</v>
      </c>
      <c r="P23" s="14">
        <v>6.0</v>
      </c>
      <c r="Q23" s="14">
        <v>7.0</v>
      </c>
      <c r="R23" s="14">
        <v>8.0</v>
      </c>
      <c r="S23" s="14">
        <v>9.0</v>
      </c>
      <c r="T23" s="14">
        <v>10.0</v>
      </c>
      <c r="U23" s="14">
        <v>11.0</v>
      </c>
      <c r="V23" s="14">
        <v>12.0</v>
      </c>
      <c r="W23" s="14">
        <v>13.0</v>
      </c>
      <c r="X23" s="14">
        <v>14.0</v>
      </c>
      <c r="Y23" s="14">
        <v>15.0</v>
      </c>
      <c r="Z23" s="14">
        <v>16.0</v>
      </c>
      <c r="AA23" s="14">
        <v>17.0</v>
      </c>
      <c r="AB23" s="14">
        <v>18.0</v>
      </c>
      <c r="AC23" s="14">
        <v>19.0</v>
      </c>
      <c r="AD23" s="14">
        <v>20.0</v>
      </c>
      <c r="AE23" s="14">
        <v>21.0</v>
      </c>
      <c r="AF23" s="14">
        <v>22.0</v>
      </c>
      <c r="AG23" s="14">
        <v>23.0</v>
      </c>
      <c r="AH23" s="14">
        <v>24.0</v>
      </c>
      <c r="AI23" s="14">
        <v>25.0</v>
      </c>
      <c r="AJ23" s="14">
        <v>26.0</v>
      </c>
      <c r="AK23" s="14">
        <v>27.0</v>
      </c>
      <c r="AL23" s="14">
        <v>28.0</v>
      </c>
      <c r="AM23" s="14">
        <v>29.0</v>
      </c>
      <c r="AN23" s="14">
        <v>30.0</v>
      </c>
      <c r="AO23" s="14">
        <v>31.0</v>
      </c>
    </row>
    <row r="24">
      <c r="A24" s="79">
        <v>23.0</v>
      </c>
      <c r="B24" s="15"/>
      <c r="C24" s="83" t="s">
        <v>53</v>
      </c>
      <c r="D24" s="80"/>
      <c r="E24" s="12"/>
      <c r="F24" s="12" t="str">
        <f t="shared" si="1"/>
        <v>Vacant</v>
      </c>
      <c r="G24" s="12"/>
      <c r="H24" s="13">
        <f t="shared" si="2"/>
        <v>0</v>
      </c>
      <c r="I24" s="13"/>
      <c r="J24" s="13"/>
      <c r="K24" s="12">
        <v>1.0</v>
      </c>
      <c r="L24" s="14">
        <v>2.0</v>
      </c>
      <c r="M24" s="14">
        <v>3.0</v>
      </c>
      <c r="N24" s="14">
        <v>4.0</v>
      </c>
      <c r="O24" s="14">
        <v>5.0</v>
      </c>
      <c r="P24" s="14">
        <v>6.0</v>
      </c>
      <c r="Q24" s="14">
        <v>7.0</v>
      </c>
      <c r="R24" s="14">
        <v>8.0</v>
      </c>
      <c r="S24" s="14">
        <v>9.0</v>
      </c>
      <c r="T24" s="14">
        <v>10.0</v>
      </c>
      <c r="U24" s="14">
        <v>11.0</v>
      </c>
      <c r="V24" s="14">
        <v>12.0</v>
      </c>
      <c r="W24" s="14">
        <v>13.0</v>
      </c>
      <c r="X24" s="14">
        <v>14.0</v>
      </c>
      <c r="Y24" s="14">
        <v>15.0</v>
      </c>
      <c r="Z24" s="14">
        <v>16.0</v>
      </c>
      <c r="AA24" s="14">
        <v>17.0</v>
      </c>
      <c r="AB24" s="14">
        <v>18.0</v>
      </c>
      <c r="AC24" s="14">
        <v>19.0</v>
      </c>
      <c r="AD24" s="14">
        <v>20.0</v>
      </c>
      <c r="AE24" s="14">
        <v>21.0</v>
      </c>
      <c r="AF24" s="14">
        <v>22.0</v>
      </c>
      <c r="AG24" s="14">
        <v>23.0</v>
      </c>
      <c r="AH24" s="14">
        <v>24.0</v>
      </c>
      <c r="AI24" s="14">
        <v>25.0</v>
      </c>
      <c r="AJ24" s="14">
        <v>26.0</v>
      </c>
      <c r="AK24" s="14">
        <v>27.0</v>
      </c>
      <c r="AL24" s="14">
        <v>28.0</v>
      </c>
      <c r="AM24" s="14">
        <v>29.0</v>
      </c>
      <c r="AN24" s="14">
        <v>30.0</v>
      </c>
      <c r="AO24" s="14">
        <v>31.0</v>
      </c>
    </row>
    <row r="25">
      <c r="A25" s="79">
        <v>24.0</v>
      </c>
      <c r="B25" s="17"/>
      <c r="C25" s="83" t="s">
        <v>54</v>
      </c>
      <c r="D25" s="80"/>
      <c r="E25" s="12"/>
      <c r="F25" s="12" t="str">
        <f t="shared" si="1"/>
        <v>Vacant</v>
      </c>
      <c r="G25" s="12"/>
      <c r="H25" s="13">
        <f t="shared" si="2"/>
        <v>0</v>
      </c>
      <c r="I25" s="13"/>
      <c r="J25" s="13"/>
      <c r="K25" s="12">
        <v>1.0</v>
      </c>
      <c r="L25" s="14">
        <v>2.0</v>
      </c>
      <c r="M25" s="14">
        <v>3.0</v>
      </c>
      <c r="N25" s="14">
        <v>4.0</v>
      </c>
      <c r="O25" s="14">
        <v>5.0</v>
      </c>
      <c r="P25" s="14">
        <v>6.0</v>
      </c>
      <c r="Q25" s="14">
        <v>7.0</v>
      </c>
      <c r="R25" s="14">
        <v>8.0</v>
      </c>
      <c r="S25" s="14">
        <v>9.0</v>
      </c>
      <c r="T25" s="14">
        <v>10.0</v>
      </c>
      <c r="U25" s="14">
        <v>11.0</v>
      </c>
      <c r="V25" s="14">
        <v>12.0</v>
      </c>
      <c r="W25" s="14">
        <v>13.0</v>
      </c>
      <c r="X25" s="14">
        <v>14.0</v>
      </c>
      <c r="Y25" s="14">
        <v>15.0</v>
      </c>
      <c r="Z25" s="14">
        <v>16.0</v>
      </c>
      <c r="AA25" s="14">
        <v>17.0</v>
      </c>
      <c r="AB25" s="14">
        <v>18.0</v>
      </c>
      <c r="AC25" s="14">
        <v>19.0</v>
      </c>
      <c r="AD25" s="14">
        <v>20.0</v>
      </c>
      <c r="AE25" s="14">
        <v>21.0</v>
      </c>
      <c r="AF25" s="14">
        <v>22.0</v>
      </c>
      <c r="AG25" s="14">
        <v>23.0</v>
      </c>
      <c r="AH25" s="14">
        <v>24.0</v>
      </c>
      <c r="AI25" s="14">
        <v>25.0</v>
      </c>
      <c r="AJ25" s="14">
        <v>26.0</v>
      </c>
      <c r="AK25" s="14">
        <v>27.0</v>
      </c>
      <c r="AL25" s="14">
        <v>28.0</v>
      </c>
      <c r="AM25" s="14">
        <v>29.0</v>
      </c>
      <c r="AN25" s="14">
        <v>30.0</v>
      </c>
      <c r="AO25" s="14">
        <v>31.0</v>
      </c>
    </row>
    <row r="26">
      <c r="A26" s="79">
        <v>25.0</v>
      </c>
      <c r="B26" s="82" t="s">
        <v>60</v>
      </c>
      <c r="C26" s="83" t="s">
        <v>51</v>
      </c>
      <c r="D26" s="80"/>
      <c r="E26" s="12"/>
      <c r="F26" s="12" t="str">
        <f t="shared" si="1"/>
        <v>Vacant</v>
      </c>
      <c r="G26" s="12"/>
      <c r="H26" s="13">
        <f t="shared" si="2"/>
        <v>0</v>
      </c>
      <c r="I26" s="13"/>
      <c r="J26" s="13"/>
      <c r="K26" s="12">
        <v>1.0</v>
      </c>
      <c r="L26" s="14">
        <v>2.0</v>
      </c>
      <c r="M26" s="14">
        <v>3.0</v>
      </c>
      <c r="N26" s="14">
        <v>4.0</v>
      </c>
      <c r="O26" s="14">
        <v>5.0</v>
      </c>
      <c r="P26" s="14">
        <v>6.0</v>
      </c>
      <c r="Q26" s="14">
        <v>7.0</v>
      </c>
      <c r="R26" s="14">
        <v>8.0</v>
      </c>
      <c r="S26" s="14">
        <v>9.0</v>
      </c>
      <c r="T26" s="14">
        <v>10.0</v>
      </c>
      <c r="U26" s="14">
        <v>11.0</v>
      </c>
      <c r="V26" s="14">
        <v>12.0</v>
      </c>
      <c r="W26" s="14">
        <v>13.0</v>
      </c>
      <c r="X26" s="14">
        <v>14.0</v>
      </c>
      <c r="Y26" s="14">
        <v>15.0</v>
      </c>
      <c r="Z26" s="14">
        <v>16.0</v>
      </c>
      <c r="AA26" s="14">
        <v>17.0</v>
      </c>
      <c r="AB26" s="14">
        <v>18.0</v>
      </c>
      <c r="AC26" s="14">
        <v>19.0</v>
      </c>
      <c r="AD26" s="14">
        <v>20.0</v>
      </c>
      <c r="AE26" s="14">
        <v>21.0</v>
      </c>
      <c r="AF26" s="14">
        <v>22.0</v>
      </c>
      <c r="AG26" s="14">
        <v>23.0</v>
      </c>
      <c r="AH26" s="14">
        <v>24.0</v>
      </c>
      <c r="AI26" s="14">
        <v>25.0</v>
      </c>
      <c r="AJ26" s="14">
        <v>26.0</v>
      </c>
      <c r="AK26" s="14">
        <v>27.0</v>
      </c>
      <c r="AL26" s="14">
        <v>28.0</v>
      </c>
      <c r="AM26" s="14">
        <v>29.0</v>
      </c>
      <c r="AN26" s="14">
        <v>30.0</v>
      </c>
      <c r="AO26" s="14">
        <v>31.0</v>
      </c>
    </row>
    <row r="27">
      <c r="A27" s="79">
        <v>26.0</v>
      </c>
      <c r="B27" s="15"/>
      <c r="C27" s="83" t="s">
        <v>52</v>
      </c>
      <c r="D27" s="80"/>
      <c r="E27" s="12"/>
      <c r="F27" s="12" t="str">
        <f t="shared" si="1"/>
        <v>Vacant</v>
      </c>
      <c r="G27" s="12"/>
      <c r="H27" s="13">
        <f t="shared" si="2"/>
        <v>0</v>
      </c>
      <c r="I27" s="13"/>
      <c r="J27" s="13"/>
      <c r="K27" s="12">
        <v>1.0</v>
      </c>
      <c r="L27" s="14">
        <v>2.0</v>
      </c>
      <c r="M27" s="14">
        <v>3.0</v>
      </c>
      <c r="N27" s="14">
        <v>4.0</v>
      </c>
      <c r="O27" s="14">
        <v>5.0</v>
      </c>
      <c r="P27" s="14">
        <v>6.0</v>
      </c>
      <c r="Q27" s="14">
        <v>7.0</v>
      </c>
      <c r="R27" s="14">
        <v>8.0</v>
      </c>
      <c r="S27" s="14">
        <v>9.0</v>
      </c>
      <c r="T27" s="14">
        <v>10.0</v>
      </c>
      <c r="U27" s="14">
        <v>11.0</v>
      </c>
      <c r="V27" s="14">
        <v>12.0</v>
      </c>
      <c r="W27" s="14">
        <v>13.0</v>
      </c>
      <c r="X27" s="14">
        <v>14.0</v>
      </c>
      <c r="Y27" s="14">
        <v>15.0</v>
      </c>
      <c r="Z27" s="14">
        <v>16.0</v>
      </c>
      <c r="AA27" s="14">
        <v>17.0</v>
      </c>
      <c r="AB27" s="14">
        <v>18.0</v>
      </c>
      <c r="AC27" s="14">
        <v>19.0</v>
      </c>
      <c r="AD27" s="14">
        <v>20.0</v>
      </c>
      <c r="AE27" s="14">
        <v>21.0</v>
      </c>
      <c r="AF27" s="14">
        <v>22.0</v>
      </c>
      <c r="AG27" s="14">
        <v>23.0</v>
      </c>
      <c r="AH27" s="14">
        <v>24.0</v>
      </c>
      <c r="AI27" s="14">
        <v>25.0</v>
      </c>
      <c r="AJ27" s="14">
        <v>26.0</v>
      </c>
      <c r="AK27" s="14">
        <v>27.0</v>
      </c>
      <c r="AL27" s="14">
        <v>28.0</v>
      </c>
      <c r="AM27" s="14">
        <v>29.0</v>
      </c>
      <c r="AN27" s="14">
        <v>30.0</v>
      </c>
      <c r="AO27" s="14">
        <v>31.0</v>
      </c>
    </row>
    <row r="28">
      <c r="A28" s="79">
        <v>27.0</v>
      </c>
      <c r="B28" s="15"/>
      <c r="C28" s="83" t="s">
        <v>53</v>
      </c>
      <c r="D28" s="80"/>
      <c r="E28" s="12"/>
      <c r="F28" s="12" t="str">
        <f t="shared" si="1"/>
        <v>Vacant</v>
      </c>
      <c r="G28" s="12"/>
      <c r="H28" s="13">
        <f t="shared" si="2"/>
        <v>0</v>
      </c>
      <c r="I28" s="13"/>
      <c r="J28" s="13"/>
      <c r="K28" s="12">
        <v>1.0</v>
      </c>
      <c r="L28" s="14">
        <v>2.0</v>
      </c>
      <c r="M28" s="14">
        <v>3.0</v>
      </c>
      <c r="N28" s="14">
        <v>4.0</v>
      </c>
      <c r="O28" s="14">
        <v>5.0</v>
      </c>
      <c r="P28" s="14">
        <v>6.0</v>
      </c>
      <c r="Q28" s="14">
        <v>7.0</v>
      </c>
      <c r="R28" s="14">
        <v>8.0</v>
      </c>
      <c r="S28" s="14">
        <v>9.0</v>
      </c>
      <c r="T28" s="14">
        <v>10.0</v>
      </c>
      <c r="U28" s="14">
        <v>11.0</v>
      </c>
      <c r="V28" s="14">
        <v>12.0</v>
      </c>
      <c r="W28" s="14">
        <v>13.0</v>
      </c>
      <c r="X28" s="14">
        <v>14.0</v>
      </c>
      <c r="Y28" s="14">
        <v>15.0</v>
      </c>
      <c r="Z28" s="14">
        <v>16.0</v>
      </c>
      <c r="AA28" s="14">
        <v>17.0</v>
      </c>
      <c r="AB28" s="14">
        <v>18.0</v>
      </c>
      <c r="AC28" s="14">
        <v>19.0</v>
      </c>
      <c r="AD28" s="14">
        <v>20.0</v>
      </c>
      <c r="AE28" s="14">
        <v>21.0</v>
      </c>
      <c r="AF28" s="14">
        <v>22.0</v>
      </c>
      <c r="AG28" s="14">
        <v>23.0</v>
      </c>
      <c r="AH28" s="14">
        <v>24.0</v>
      </c>
      <c r="AI28" s="14">
        <v>25.0</v>
      </c>
      <c r="AJ28" s="14">
        <v>26.0</v>
      </c>
      <c r="AK28" s="14">
        <v>27.0</v>
      </c>
      <c r="AL28" s="14">
        <v>28.0</v>
      </c>
      <c r="AM28" s="14">
        <v>29.0</v>
      </c>
      <c r="AN28" s="14">
        <v>30.0</v>
      </c>
      <c r="AO28" s="14">
        <v>31.0</v>
      </c>
    </row>
    <row r="29">
      <c r="A29" s="79">
        <v>28.0</v>
      </c>
      <c r="B29" s="17"/>
      <c r="C29" s="83" t="s">
        <v>54</v>
      </c>
      <c r="D29" s="80"/>
      <c r="E29" s="12"/>
      <c r="F29" s="12" t="str">
        <f t="shared" si="1"/>
        <v>Vacant</v>
      </c>
      <c r="G29" s="12"/>
      <c r="H29" s="13">
        <f t="shared" si="2"/>
        <v>0</v>
      </c>
      <c r="I29" s="13"/>
      <c r="J29" s="13"/>
      <c r="K29" s="12">
        <v>1.0</v>
      </c>
      <c r="L29" s="14">
        <v>2.0</v>
      </c>
      <c r="M29" s="14">
        <v>3.0</v>
      </c>
      <c r="N29" s="14">
        <v>4.0</v>
      </c>
      <c r="O29" s="14">
        <v>5.0</v>
      </c>
      <c r="P29" s="14">
        <v>6.0</v>
      </c>
      <c r="Q29" s="14">
        <v>7.0</v>
      </c>
      <c r="R29" s="14">
        <v>8.0</v>
      </c>
      <c r="S29" s="14">
        <v>9.0</v>
      </c>
      <c r="T29" s="14">
        <v>10.0</v>
      </c>
      <c r="U29" s="14">
        <v>11.0</v>
      </c>
      <c r="V29" s="14">
        <v>12.0</v>
      </c>
      <c r="W29" s="14">
        <v>13.0</v>
      </c>
      <c r="X29" s="14">
        <v>14.0</v>
      </c>
      <c r="Y29" s="14">
        <v>15.0</v>
      </c>
      <c r="Z29" s="14">
        <v>16.0</v>
      </c>
      <c r="AA29" s="14">
        <v>17.0</v>
      </c>
      <c r="AB29" s="14">
        <v>18.0</v>
      </c>
      <c r="AC29" s="14">
        <v>19.0</v>
      </c>
      <c r="AD29" s="14">
        <v>20.0</v>
      </c>
      <c r="AE29" s="14">
        <v>21.0</v>
      </c>
      <c r="AF29" s="14">
        <v>22.0</v>
      </c>
      <c r="AG29" s="14">
        <v>23.0</v>
      </c>
      <c r="AH29" s="14">
        <v>24.0</v>
      </c>
      <c r="AI29" s="14">
        <v>25.0</v>
      </c>
      <c r="AJ29" s="14">
        <v>26.0</v>
      </c>
      <c r="AK29" s="14">
        <v>27.0</v>
      </c>
      <c r="AL29" s="14">
        <v>28.0</v>
      </c>
      <c r="AM29" s="14">
        <v>29.0</v>
      </c>
      <c r="AN29" s="14">
        <v>30.0</v>
      </c>
      <c r="AO29" s="14">
        <v>31.0</v>
      </c>
    </row>
    <row r="30">
      <c r="A30" s="79">
        <v>29.0</v>
      </c>
      <c r="B30" s="82" t="s">
        <v>61</v>
      </c>
      <c r="C30" s="83" t="s">
        <v>51</v>
      </c>
      <c r="D30" s="80"/>
      <c r="E30" s="12"/>
      <c r="F30" s="12" t="str">
        <f t="shared" si="1"/>
        <v>Vacant</v>
      </c>
      <c r="G30" s="12"/>
      <c r="H30" s="13">
        <f t="shared" si="2"/>
        <v>0</v>
      </c>
      <c r="I30" s="13"/>
      <c r="J30" s="13"/>
      <c r="K30" s="12">
        <v>1.0</v>
      </c>
      <c r="L30" s="14">
        <v>2.0</v>
      </c>
      <c r="M30" s="14">
        <v>3.0</v>
      </c>
      <c r="N30" s="14">
        <v>4.0</v>
      </c>
      <c r="O30" s="14">
        <v>5.0</v>
      </c>
      <c r="P30" s="14">
        <v>6.0</v>
      </c>
      <c r="Q30" s="14">
        <v>7.0</v>
      </c>
      <c r="R30" s="14">
        <v>8.0</v>
      </c>
      <c r="S30" s="14">
        <v>9.0</v>
      </c>
      <c r="T30" s="14">
        <v>10.0</v>
      </c>
      <c r="U30" s="14">
        <v>11.0</v>
      </c>
      <c r="V30" s="14">
        <v>12.0</v>
      </c>
      <c r="W30" s="14">
        <v>13.0</v>
      </c>
      <c r="X30" s="14">
        <v>14.0</v>
      </c>
      <c r="Y30" s="14">
        <v>15.0</v>
      </c>
      <c r="Z30" s="14">
        <v>16.0</v>
      </c>
      <c r="AA30" s="14">
        <v>17.0</v>
      </c>
      <c r="AB30" s="14">
        <v>18.0</v>
      </c>
      <c r="AC30" s="14">
        <v>19.0</v>
      </c>
      <c r="AD30" s="14">
        <v>20.0</v>
      </c>
      <c r="AE30" s="14">
        <v>21.0</v>
      </c>
      <c r="AF30" s="14">
        <v>22.0</v>
      </c>
      <c r="AG30" s="14">
        <v>23.0</v>
      </c>
      <c r="AH30" s="14">
        <v>24.0</v>
      </c>
      <c r="AI30" s="14">
        <v>25.0</v>
      </c>
      <c r="AJ30" s="14">
        <v>26.0</v>
      </c>
      <c r="AK30" s="14">
        <v>27.0</v>
      </c>
      <c r="AL30" s="14">
        <v>28.0</v>
      </c>
      <c r="AM30" s="14">
        <v>29.0</v>
      </c>
      <c r="AN30" s="14">
        <v>30.0</v>
      </c>
      <c r="AO30" s="14">
        <v>31.0</v>
      </c>
    </row>
    <row r="31">
      <c r="A31" s="79">
        <v>30.0</v>
      </c>
      <c r="B31" s="15"/>
      <c r="C31" s="83" t="s">
        <v>52</v>
      </c>
      <c r="D31" s="80"/>
      <c r="E31" s="12"/>
      <c r="F31" s="12" t="str">
        <f t="shared" si="1"/>
        <v>Vacant</v>
      </c>
      <c r="G31" s="12"/>
      <c r="H31" s="13">
        <f t="shared" si="2"/>
        <v>0</v>
      </c>
      <c r="I31" s="13"/>
      <c r="J31" s="13"/>
      <c r="K31" s="12">
        <v>1.0</v>
      </c>
      <c r="L31" s="14">
        <v>2.0</v>
      </c>
      <c r="M31" s="14">
        <v>3.0</v>
      </c>
      <c r="N31" s="14">
        <v>4.0</v>
      </c>
      <c r="O31" s="14">
        <v>5.0</v>
      </c>
      <c r="P31" s="14">
        <v>6.0</v>
      </c>
      <c r="Q31" s="14">
        <v>7.0</v>
      </c>
      <c r="R31" s="14">
        <v>8.0</v>
      </c>
      <c r="S31" s="14">
        <v>9.0</v>
      </c>
      <c r="T31" s="14">
        <v>10.0</v>
      </c>
      <c r="U31" s="14">
        <v>11.0</v>
      </c>
      <c r="V31" s="14">
        <v>12.0</v>
      </c>
      <c r="W31" s="14">
        <v>13.0</v>
      </c>
      <c r="X31" s="14">
        <v>14.0</v>
      </c>
      <c r="Y31" s="14">
        <v>15.0</v>
      </c>
      <c r="Z31" s="14">
        <v>16.0</v>
      </c>
      <c r="AA31" s="14">
        <v>17.0</v>
      </c>
      <c r="AB31" s="14">
        <v>18.0</v>
      </c>
      <c r="AC31" s="14">
        <v>19.0</v>
      </c>
      <c r="AD31" s="14">
        <v>20.0</v>
      </c>
      <c r="AE31" s="14">
        <v>21.0</v>
      </c>
      <c r="AF31" s="14">
        <v>22.0</v>
      </c>
      <c r="AG31" s="14">
        <v>23.0</v>
      </c>
      <c r="AH31" s="14">
        <v>24.0</v>
      </c>
      <c r="AI31" s="14">
        <v>25.0</v>
      </c>
      <c r="AJ31" s="14">
        <v>26.0</v>
      </c>
      <c r="AK31" s="14">
        <v>27.0</v>
      </c>
      <c r="AL31" s="14">
        <v>28.0</v>
      </c>
      <c r="AM31" s="14">
        <v>29.0</v>
      </c>
      <c r="AN31" s="14">
        <v>30.0</v>
      </c>
      <c r="AO31" s="14">
        <v>31.0</v>
      </c>
    </row>
    <row r="32">
      <c r="A32" s="79">
        <v>31.0</v>
      </c>
      <c r="B32" s="15"/>
      <c r="C32" s="83" t="s">
        <v>53</v>
      </c>
      <c r="D32" s="80"/>
      <c r="E32" s="12"/>
      <c r="F32" s="12" t="str">
        <f t="shared" si="1"/>
        <v>Vacant</v>
      </c>
      <c r="G32" s="12"/>
      <c r="H32" s="13">
        <f t="shared" si="2"/>
        <v>0</v>
      </c>
      <c r="I32" s="13"/>
      <c r="J32" s="13"/>
      <c r="K32" s="12">
        <v>1.0</v>
      </c>
      <c r="L32" s="14">
        <v>2.0</v>
      </c>
      <c r="M32" s="14">
        <v>3.0</v>
      </c>
      <c r="N32" s="14">
        <v>4.0</v>
      </c>
      <c r="O32" s="14">
        <v>5.0</v>
      </c>
      <c r="P32" s="14">
        <v>6.0</v>
      </c>
      <c r="Q32" s="14">
        <v>7.0</v>
      </c>
      <c r="R32" s="14">
        <v>8.0</v>
      </c>
      <c r="S32" s="14">
        <v>9.0</v>
      </c>
      <c r="T32" s="14">
        <v>10.0</v>
      </c>
      <c r="U32" s="14">
        <v>11.0</v>
      </c>
      <c r="V32" s="14">
        <v>12.0</v>
      </c>
      <c r="W32" s="14">
        <v>13.0</v>
      </c>
      <c r="X32" s="14">
        <v>14.0</v>
      </c>
      <c r="Y32" s="14">
        <v>15.0</v>
      </c>
      <c r="Z32" s="14">
        <v>16.0</v>
      </c>
      <c r="AA32" s="14">
        <v>17.0</v>
      </c>
      <c r="AB32" s="14">
        <v>18.0</v>
      </c>
      <c r="AC32" s="14">
        <v>19.0</v>
      </c>
      <c r="AD32" s="14">
        <v>20.0</v>
      </c>
      <c r="AE32" s="14">
        <v>21.0</v>
      </c>
      <c r="AF32" s="14">
        <v>22.0</v>
      </c>
      <c r="AG32" s="14">
        <v>23.0</v>
      </c>
      <c r="AH32" s="14">
        <v>24.0</v>
      </c>
      <c r="AI32" s="14">
        <v>25.0</v>
      </c>
      <c r="AJ32" s="14">
        <v>26.0</v>
      </c>
      <c r="AK32" s="14">
        <v>27.0</v>
      </c>
      <c r="AL32" s="14">
        <v>28.0</v>
      </c>
      <c r="AM32" s="14">
        <v>29.0</v>
      </c>
      <c r="AN32" s="14">
        <v>30.0</v>
      </c>
      <c r="AO32" s="14">
        <v>31.0</v>
      </c>
    </row>
    <row r="33">
      <c r="A33" s="79">
        <v>32.0</v>
      </c>
      <c r="B33" s="17"/>
      <c r="C33" s="83" t="s">
        <v>54</v>
      </c>
      <c r="D33" s="80"/>
      <c r="E33" s="12"/>
      <c r="F33" s="12" t="str">
        <f t="shared" si="1"/>
        <v>Vacant</v>
      </c>
      <c r="G33" s="12"/>
      <c r="H33" s="13">
        <f t="shared" si="2"/>
        <v>0</v>
      </c>
      <c r="I33" s="13"/>
      <c r="J33" s="13"/>
      <c r="K33" s="12">
        <v>1.0</v>
      </c>
      <c r="L33" s="14">
        <v>2.0</v>
      </c>
      <c r="M33" s="14">
        <v>3.0</v>
      </c>
      <c r="N33" s="14">
        <v>4.0</v>
      </c>
      <c r="O33" s="14">
        <v>5.0</v>
      </c>
      <c r="P33" s="14">
        <v>6.0</v>
      </c>
      <c r="Q33" s="14">
        <v>7.0</v>
      </c>
      <c r="R33" s="14">
        <v>8.0</v>
      </c>
      <c r="S33" s="14">
        <v>9.0</v>
      </c>
      <c r="T33" s="14">
        <v>10.0</v>
      </c>
      <c r="U33" s="14">
        <v>11.0</v>
      </c>
      <c r="V33" s="14">
        <v>12.0</v>
      </c>
      <c r="W33" s="14">
        <v>13.0</v>
      </c>
      <c r="X33" s="14">
        <v>14.0</v>
      </c>
      <c r="Y33" s="14">
        <v>15.0</v>
      </c>
      <c r="Z33" s="14">
        <v>16.0</v>
      </c>
      <c r="AA33" s="14">
        <v>17.0</v>
      </c>
      <c r="AB33" s="14">
        <v>18.0</v>
      </c>
      <c r="AC33" s="14">
        <v>19.0</v>
      </c>
      <c r="AD33" s="14">
        <v>20.0</v>
      </c>
      <c r="AE33" s="14">
        <v>21.0</v>
      </c>
      <c r="AF33" s="14">
        <v>22.0</v>
      </c>
      <c r="AG33" s="14">
        <v>23.0</v>
      </c>
      <c r="AH33" s="14">
        <v>24.0</v>
      </c>
      <c r="AI33" s="14">
        <v>25.0</v>
      </c>
      <c r="AJ33" s="14">
        <v>26.0</v>
      </c>
      <c r="AK33" s="14">
        <v>27.0</v>
      </c>
      <c r="AL33" s="14">
        <v>28.0</v>
      </c>
      <c r="AM33" s="14">
        <v>29.0</v>
      </c>
      <c r="AN33" s="14">
        <v>30.0</v>
      </c>
      <c r="AO33" s="14">
        <v>31.0</v>
      </c>
    </row>
    <row r="34">
      <c r="A34" s="79">
        <v>33.0</v>
      </c>
      <c r="B34" s="82" t="s">
        <v>62</v>
      </c>
      <c r="C34" s="83" t="s">
        <v>51</v>
      </c>
      <c r="D34" s="80"/>
      <c r="E34" s="12"/>
      <c r="F34" s="12" t="str">
        <f t="shared" si="1"/>
        <v>Vacant</v>
      </c>
      <c r="G34" s="12"/>
      <c r="H34" s="13">
        <f t="shared" si="2"/>
        <v>0</v>
      </c>
      <c r="I34" s="13"/>
      <c r="J34" s="13"/>
      <c r="K34" s="12">
        <v>1.0</v>
      </c>
      <c r="L34" s="14">
        <v>2.0</v>
      </c>
      <c r="M34" s="14">
        <v>3.0</v>
      </c>
      <c r="N34" s="14">
        <v>4.0</v>
      </c>
      <c r="O34" s="14">
        <v>5.0</v>
      </c>
      <c r="P34" s="14">
        <v>6.0</v>
      </c>
      <c r="Q34" s="14">
        <v>7.0</v>
      </c>
      <c r="R34" s="14">
        <v>8.0</v>
      </c>
      <c r="S34" s="14">
        <v>9.0</v>
      </c>
      <c r="T34" s="14">
        <v>10.0</v>
      </c>
      <c r="U34" s="14">
        <v>11.0</v>
      </c>
      <c r="V34" s="14">
        <v>12.0</v>
      </c>
      <c r="W34" s="14">
        <v>13.0</v>
      </c>
      <c r="X34" s="14">
        <v>14.0</v>
      </c>
      <c r="Y34" s="14">
        <v>15.0</v>
      </c>
      <c r="Z34" s="14">
        <v>16.0</v>
      </c>
      <c r="AA34" s="14">
        <v>17.0</v>
      </c>
      <c r="AB34" s="14">
        <v>18.0</v>
      </c>
      <c r="AC34" s="14">
        <v>19.0</v>
      </c>
      <c r="AD34" s="14">
        <v>20.0</v>
      </c>
      <c r="AE34" s="14">
        <v>21.0</v>
      </c>
      <c r="AF34" s="14">
        <v>22.0</v>
      </c>
      <c r="AG34" s="14">
        <v>23.0</v>
      </c>
      <c r="AH34" s="14">
        <v>24.0</v>
      </c>
      <c r="AI34" s="14">
        <v>25.0</v>
      </c>
      <c r="AJ34" s="14">
        <v>26.0</v>
      </c>
      <c r="AK34" s="14">
        <v>27.0</v>
      </c>
      <c r="AL34" s="14">
        <v>28.0</v>
      </c>
      <c r="AM34" s="14">
        <v>29.0</v>
      </c>
      <c r="AN34" s="14">
        <v>30.0</v>
      </c>
      <c r="AO34" s="14">
        <v>31.0</v>
      </c>
    </row>
    <row r="35">
      <c r="A35" s="79">
        <v>34.0</v>
      </c>
      <c r="B35" s="15"/>
      <c r="C35" s="83" t="s">
        <v>52</v>
      </c>
      <c r="D35" s="80"/>
      <c r="E35" s="12"/>
      <c r="F35" s="12" t="str">
        <f t="shared" si="1"/>
        <v>Vacant</v>
      </c>
      <c r="G35" s="12"/>
      <c r="H35" s="13">
        <f t="shared" si="2"/>
        <v>0</v>
      </c>
      <c r="I35" s="13"/>
      <c r="J35" s="13"/>
      <c r="K35" s="12">
        <v>1.0</v>
      </c>
      <c r="L35" s="14">
        <v>2.0</v>
      </c>
      <c r="M35" s="14">
        <v>3.0</v>
      </c>
      <c r="N35" s="14">
        <v>4.0</v>
      </c>
      <c r="O35" s="14">
        <v>5.0</v>
      </c>
      <c r="P35" s="14">
        <v>6.0</v>
      </c>
      <c r="Q35" s="14">
        <v>7.0</v>
      </c>
      <c r="R35" s="14">
        <v>8.0</v>
      </c>
      <c r="S35" s="14">
        <v>9.0</v>
      </c>
      <c r="T35" s="14">
        <v>10.0</v>
      </c>
      <c r="U35" s="14">
        <v>11.0</v>
      </c>
      <c r="V35" s="14">
        <v>12.0</v>
      </c>
      <c r="W35" s="14">
        <v>13.0</v>
      </c>
      <c r="X35" s="14">
        <v>14.0</v>
      </c>
      <c r="Y35" s="14">
        <v>15.0</v>
      </c>
      <c r="Z35" s="14">
        <v>16.0</v>
      </c>
      <c r="AA35" s="14">
        <v>17.0</v>
      </c>
      <c r="AB35" s="14">
        <v>18.0</v>
      </c>
      <c r="AC35" s="14">
        <v>19.0</v>
      </c>
      <c r="AD35" s="14">
        <v>20.0</v>
      </c>
      <c r="AE35" s="14">
        <v>21.0</v>
      </c>
      <c r="AF35" s="14">
        <v>22.0</v>
      </c>
      <c r="AG35" s="14">
        <v>23.0</v>
      </c>
      <c r="AH35" s="14">
        <v>24.0</v>
      </c>
      <c r="AI35" s="14">
        <v>25.0</v>
      </c>
      <c r="AJ35" s="14">
        <v>26.0</v>
      </c>
      <c r="AK35" s="14">
        <v>27.0</v>
      </c>
      <c r="AL35" s="14">
        <v>28.0</v>
      </c>
      <c r="AM35" s="14">
        <v>29.0</v>
      </c>
      <c r="AN35" s="14">
        <v>30.0</v>
      </c>
      <c r="AO35" s="14">
        <v>31.0</v>
      </c>
    </row>
    <row r="36">
      <c r="A36" s="79">
        <v>35.0</v>
      </c>
      <c r="B36" s="15"/>
      <c r="C36" s="83" t="s">
        <v>53</v>
      </c>
      <c r="D36" s="80"/>
      <c r="E36" s="12"/>
      <c r="F36" s="12" t="str">
        <f t="shared" si="1"/>
        <v>Vacant</v>
      </c>
      <c r="G36" s="12"/>
      <c r="H36" s="13">
        <f t="shared" si="2"/>
        <v>0</v>
      </c>
      <c r="I36" s="13"/>
      <c r="J36" s="13"/>
      <c r="K36" s="12">
        <v>1.0</v>
      </c>
      <c r="L36" s="14">
        <v>2.0</v>
      </c>
      <c r="M36" s="14">
        <v>3.0</v>
      </c>
      <c r="N36" s="14">
        <v>4.0</v>
      </c>
      <c r="O36" s="14">
        <v>5.0</v>
      </c>
      <c r="P36" s="14">
        <v>6.0</v>
      </c>
      <c r="Q36" s="14">
        <v>7.0</v>
      </c>
      <c r="R36" s="14">
        <v>8.0</v>
      </c>
      <c r="S36" s="14">
        <v>9.0</v>
      </c>
      <c r="T36" s="14">
        <v>10.0</v>
      </c>
      <c r="U36" s="14">
        <v>11.0</v>
      </c>
      <c r="V36" s="14">
        <v>12.0</v>
      </c>
      <c r="W36" s="14">
        <v>13.0</v>
      </c>
      <c r="X36" s="14">
        <v>14.0</v>
      </c>
      <c r="Y36" s="14">
        <v>15.0</v>
      </c>
      <c r="Z36" s="14">
        <v>16.0</v>
      </c>
      <c r="AA36" s="14">
        <v>17.0</v>
      </c>
      <c r="AB36" s="14">
        <v>18.0</v>
      </c>
      <c r="AC36" s="14">
        <v>19.0</v>
      </c>
      <c r="AD36" s="14">
        <v>20.0</v>
      </c>
      <c r="AE36" s="14">
        <v>21.0</v>
      </c>
      <c r="AF36" s="14">
        <v>22.0</v>
      </c>
      <c r="AG36" s="14">
        <v>23.0</v>
      </c>
      <c r="AH36" s="14">
        <v>24.0</v>
      </c>
      <c r="AI36" s="14">
        <v>25.0</v>
      </c>
      <c r="AJ36" s="14">
        <v>26.0</v>
      </c>
      <c r="AK36" s="14">
        <v>27.0</v>
      </c>
      <c r="AL36" s="14">
        <v>28.0</v>
      </c>
      <c r="AM36" s="14">
        <v>29.0</v>
      </c>
      <c r="AN36" s="14">
        <v>30.0</v>
      </c>
      <c r="AO36" s="14">
        <v>31.0</v>
      </c>
    </row>
    <row r="37">
      <c r="A37" s="79">
        <v>36.0</v>
      </c>
      <c r="B37" s="17"/>
      <c r="C37" s="83" t="s">
        <v>54</v>
      </c>
      <c r="D37" s="80"/>
      <c r="E37" s="12"/>
      <c r="F37" s="12" t="str">
        <f t="shared" si="1"/>
        <v>Vacant</v>
      </c>
      <c r="G37" s="12"/>
      <c r="H37" s="13">
        <f t="shared" si="2"/>
        <v>0</v>
      </c>
      <c r="I37" s="13"/>
      <c r="J37" s="13"/>
      <c r="K37" s="12">
        <v>1.0</v>
      </c>
      <c r="L37" s="14">
        <v>2.0</v>
      </c>
      <c r="M37" s="14">
        <v>3.0</v>
      </c>
      <c r="N37" s="14">
        <v>4.0</v>
      </c>
      <c r="O37" s="14">
        <v>5.0</v>
      </c>
      <c r="P37" s="14">
        <v>6.0</v>
      </c>
      <c r="Q37" s="14">
        <v>7.0</v>
      </c>
      <c r="R37" s="14">
        <v>8.0</v>
      </c>
      <c r="S37" s="14">
        <v>9.0</v>
      </c>
      <c r="T37" s="14">
        <v>10.0</v>
      </c>
      <c r="U37" s="14">
        <v>11.0</v>
      </c>
      <c r="V37" s="14">
        <v>12.0</v>
      </c>
      <c r="W37" s="14">
        <v>13.0</v>
      </c>
      <c r="X37" s="14">
        <v>14.0</v>
      </c>
      <c r="Y37" s="14">
        <v>15.0</v>
      </c>
      <c r="Z37" s="14">
        <v>16.0</v>
      </c>
      <c r="AA37" s="14">
        <v>17.0</v>
      </c>
      <c r="AB37" s="14">
        <v>18.0</v>
      </c>
      <c r="AC37" s="14">
        <v>19.0</v>
      </c>
      <c r="AD37" s="14">
        <v>20.0</v>
      </c>
      <c r="AE37" s="14">
        <v>21.0</v>
      </c>
      <c r="AF37" s="14">
        <v>22.0</v>
      </c>
      <c r="AG37" s="14">
        <v>23.0</v>
      </c>
      <c r="AH37" s="14">
        <v>24.0</v>
      </c>
      <c r="AI37" s="14">
        <v>25.0</v>
      </c>
      <c r="AJ37" s="14">
        <v>26.0</v>
      </c>
      <c r="AK37" s="14">
        <v>27.0</v>
      </c>
      <c r="AL37" s="14">
        <v>28.0</v>
      </c>
      <c r="AM37" s="14">
        <v>29.0</v>
      </c>
      <c r="AN37" s="14">
        <v>30.0</v>
      </c>
      <c r="AO37" s="14">
        <v>31.0</v>
      </c>
    </row>
    <row r="38">
      <c r="A38" s="79">
        <v>37.0</v>
      </c>
      <c r="B38" s="82" t="s">
        <v>63</v>
      </c>
      <c r="C38" s="83" t="s">
        <v>51</v>
      </c>
      <c r="D38" s="80"/>
      <c r="E38" s="12"/>
      <c r="F38" s="12" t="str">
        <f t="shared" si="1"/>
        <v>Vacant</v>
      </c>
      <c r="G38" s="12"/>
      <c r="H38" s="13">
        <f t="shared" si="2"/>
        <v>0</v>
      </c>
      <c r="I38" s="13"/>
      <c r="J38" s="13"/>
      <c r="K38" s="12">
        <v>1.0</v>
      </c>
      <c r="L38" s="14">
        <v>2.0</v>
      </c>
      <c r="M38" s="14">
        <v>3.0</v>
      </c>
      <c r="N38" s="14">
        <v>4.0</v>
      </c>
      <c r="O38" s="14">
        <v>5.0</v>
      </c>
      <c r="P38" s="14">
        <v>6.0</v>
      </c>
      <c r="Q38" s="14">
        <v>7.0</v>
      </c>
      <c r="R38" s="14">
        <v>8.0</v>
      </c>
      <c r="S38" s="14">
        <v>9.0</v>
      </c>
      <c r="T38" s="14">
        <v>10.0</v>
      </c>
      <c r="U38" s="14">
        <v>11.0</v>
      </c>
      <c r="V38" s="14">
        <v>12.0</v>
      </c>
      <c r="W38" s="14">
        <v>13.0</v>
      </c>
      <c r="X38" s="14">
        <v>14.0</v>
      </c>
      <c r="Y38" s="14">
        <v>15.0</v>
      </c>
      <c r="Z38" s="14">
        <v>16.0</v>
      </c>
      <c r="AA38" s="14">
        <v>17.0</v>
      </c>
      <c r="AB38" s="14">
        <v>18.0</v>
      </c>
      <c r="AC38" s="14">
        <v>19.0</v>
      </c>
      <c r="AD38" s="14">
        <v>20.0</v>
      </c>
      <c r="AE38" s="14">
        <v>21.0</v>
      </c>
      <c r="AF38" s="14">
        <v>22.0</v>
      </c>
      <c r="AG38" s="14">
        <v>23.0</v>
      </c>
      <c r="AH38" s="14">
        <v>24.0</v>
      </c>
      <c r="AI38" s="14">
        <v>25.0</v>
      </c>
      <c r="AJ38" s="14">
        <v>26.0</v>
      </c>
      <c r="AK38" s="14">
        <v>27.0</v>
      </c>
      <c r="AL38" s="14">
        <v>28.0</v>
      </c>
      <c r="AM38" s="14">
        <v>29.0</v>
      </c>
      <c r="AN38" s="14">
        <v>30.0</v>
      </c>
      <c r="AO38" s="14">
        <v>31.0</v>
      </c>
    </row>
    <row r="39">
      <c r="A39" s="79">
        <v>38.0</v>
      </c>
      <c r="B39" s="15"/>
      <c r="C39" s="83" t="s">
        <v>52</v>
      </c>
      <c r="D39" s="80"/>
      <c r="E39" s="12"/>
      <c r="F39" s="12" t="str">
        <f t="shared" si="1"/>
        <v>Vacant</v>
      </c>
      <c r="G39" s="12"/>
      <c r="H39" s="13">
        <f t="shared" si="2"/>
        <v>0</v>
      </c>
      <c r="I39" s="13"/>
      <c r="J39" s="13"/>
      <c r="K39" s="12">
        <v>1.0</v>
      </c>
      <c r="L39" s="14">
        <v>2.0</v>
      </c>
      <c r="M39" s="14">
        <v>3.0</v>
      </c>
      <c r="N39" s="14">
        <v>4.0</v>
      </c>
      <c r="O39" s="14">
        <v>5.0</v>
      </c>
      <c r="P39" s="14">
        <v>6.0</v>
      </c>
      <c r="Q39" s="14">
        <v>7.0</v>
      </c>
      <c r="R39" s="14">
        <v>8.0</v>
      </c>
      <c r="S39" s="14">
        <v>9.0</v>
      </c>
      <c r="T39" s="14">
        <v>10.0</v>
      </c>
      <c r="U39" s="14">
        <v>11.0</v>
      </c>
      <c r="V39" s="14">
        <v>12.0</v>
      </c>
      <c r="W39" s="14">
        <v>13.0</v>
      </c>
      <c r="X39" s="14">
        <v>14.0</v>
      </c>
      <c r="Y39" s="14">
        <v>15.0</v>
      </c>
      <c r="Z39" s="14">
        <v>16.0</v>
      </c>
      <c r="AA39" s="14">
        <v>17.0</v>
      </c>
      <c r="AB39" s="14">
        <v>18.0</v>
      </c>
      <c r="AC39" s="14">
        <v>19.0</v>
      </c>
      <c r="AD39" s="14">
        <v>20.0</v>
      </c>
      <c r="AE39" s="14">
        <v>21.0</v>
      </c>
      <c r="AF39" s="14">
        <v>22.0</v>
      </c>
      <c r="AG39" s="14">
        <v>23.0</v>
      </c>
      <c r="AH39" s="14">
        <v>24.0</v>
      </c>
      <c r="AI39" s="14">
        <v>25.0</v>
      </c>
      <c r="AJ39" s="14">
        <v>26.0</v>
      </c>
      <c r="AK39" s="14">
        <v>27.0</v>
      </c>
      <c r="AL39" s="14">
        <v>28.0</v>
      </c>
      <c r="AM39" s="14">
        <v>29.0</v>
      </c>
      <c r="AN39" s="14">
        <v>30.0</v>
      </c>
      <c r="AO39" s="14">
        <v>31.0</v>
      </c>
    </row>
    <row r="40">
      <c r="A40" s="79">
        <v>39.0</v>
      </c>
      <c r="B40" s="15"/>
      <c r="C40" s="83" t="s">
        <v>53</v>
      </c>
      <c r="D40" s="80"/>
      <c r="E40" s="12"/>
      <c r="F40" s="12" t="str">
        <f t="shared" si="1"/>
        <v>Vacant</v>
      </c>
      <c r="G40" s="12"/>
      <c r="H40" s="13">
        <f t="shared" si="2"/>
        <v>0</v>
      </c>
      <c r="I40" s="13"/>
      <c r="J40" s="13"/>
      <c r="K40" s="12">
        <v>1.0</v>
      </c>
      <c r="L40" s="14">
        <v>2.0</v>
      </c>
      <c r="M40" s="14">
        <v>3.0</v>
      </c>
      <c r="N40" s="14">
        <v>4.0</v>
      </c>
      <c r="O40" s="14">
        <v>5.0</v>
      </c>
      <c r="P40" s="14">
        <v>6.0</v>
      </c>
      <c r="Q40" s="14">
        <v>7.0</v>
      </c>
      <c r="R40" s="14">
        <v>8.0</v>
      </c>
      <c r="S40" s="14">
        <v>9.0</v>
      </c>
      <c r="T40" s="14">
        <v>10.0</v>
      </c>
      <c r="U40" s="14">
        <v>11.0</v>
      </c>
      <c r="V40" s="14">
        <v>12.0</v>
      </c>
      <c r="W40" s="14">
        <v>13.0</v>
      </c>
      <c r="X40" s="14">
        <v>14.0</v>
      </c>
      <c r="Y40" s="14">
        <v>15.0</v>
      </c>
      <c r="Z40" s="14">
        <v>16.0</v>
      </c>
      <c r="AA40" s="14">
        <v>17.0</v>
      </c>
      <c r="AB40" s="14">
        <v>18.0</v>
      </c>
      <c r="AC40" s="14">
        <v>19.0</v>
      </c>
      <c r="AD40" s="14">
        <v>20.0</v>
      </c>
      <c r="AE40" s="14">
        <v>21.0</v>
      </c>
      <c r="AF40" s="14">
        <v>22.0</v>
      </c>
      <c r="AG40" s="14">
        <v>23.0</v>
      </c>
      <c r="AH40" s="14">
        <v>24.0</v>
      </c>
      <c r="AI40" s="14">
        <v>25.0</v>
      </c>
      <c r="AJ40" s="14">
        <v>26.0</v>
      </c>
      <c r="AK40" s="14">
        <v>27.0</v>
      </c>
      <c r="AL40" s="14">
        <v>28.0</v>
      </c>
      <c r="AM40" s="14">
        <v>29.0</v>
      </c>
      <c r="AN40" s="14">
        <v>30.0</v>
      </c>
      <c r="AO40" s="14">
        <v>31.0</v>
      </c>
    </row>
    <row r="41">
      <c r="A41" s="79">
        <v>40.0</v>
      </c>
      <c r="B41" s="17"/>
      <c r="C41" s="83" t="s">
        <v>54</v>
      </c>
      <c r="D41" s="80"/>
      <c r="E41" s="12"/>
      <c r="F41" s="12" t="str">
        <f t="shared" si="1"/>
        <v>Vacant</v>
      </c>
      <c r="G41" s="12"/>
      <c r="H41" s="13">
        <f t="shared" si="2"/>
        <v>0</v>
      </c>
      <c r="I41" s="13"/>
      <c r="J41" s="13"/>
      <c r="K41" s="12">
        <v>1.0</v>
      </c>
      <c r="L41" s="14">
        <v>2.0</v>
      </c>
      <c r="M41" s="14">
        <v>3.0</v>
      </c>
      <c r="N41" s="14">
        <v>4.0</v>
      </c>
      <c r="O41" s="14">
        <v>5.0</v>
      </c>
      <c r="P41" s="14">
        <v>6.0</v>
      </c>
      <c r="Q41" s="14">
        <v>7.0</v>
      </c>
      <c r="R41" s="14">
        <v>8.0</v>
      </c>
      <c r="S41" s="14">
        <v>9.0</v>
      </c>
      <c r="T41" s="14">
        <v>10.0</v>
      </c>
      <c r="U41" s="14">
        <v>11.0</v>
      </c>
      <c r="V41" s="14">
        <v>12.0</v>
      </c>
      <c r="W41" s="14">
        <v>13.0</v>
      </c>
      <c r="X41" s="14">
        <v>14.0</v>
      </c>
      <c r="Y41" s="14">
        <v>15.0</v>
      </c>
      <c r="Z41" s="14">
        <v>16.0</v>
      </c>
      <c r="AA41" s="14">
        <v>17.0</v>
      </c>
      <c r="AB41" s="14">
        <v>18.0</v>
      </c>
      <c r="AC41" s="14">
        <v>19.0</v>
      </c>
      <c r="AD41" s="14">
        <v>20.0</v>
      </c>
      <c r="AE41" s="14">
        <v>21.0</v>
      </c>
      <c r="AF41" s="14">
        <v>22.0</v>
      </c>
      <c r="AG41" s="14">
        <v>23.0</v>
      </c>
      <c r="AH41" s="14">
        <v>24.0</v>
      </c>
      <c r="AI41" s="14">
        <v>25.0</v>
      </c>
      <c r="AJ41" s="14">
        <v>26.0</v>
      </c>
      <c r="AK41" s="14">
        <v>27.0</v>
      </c>
      <c r="AL41" s="14">
        <v>28.0</v>
      </c>
      <c r="AM41" s="14">
        <v>29.0</v>
      </c>
      <c r="AN41" s="14">
        <v>30.0</v>
      </c>
      <c r="AO41" s="14">
        <v>31.0</v>
      </c>
    </row>
    <row r="42">
      <c r="A42" s="84"/>
      <c r="B42" s="85"/>
      <c r="C42" s="86"/>
      <c r="D42" s="87"/>
      <c r="E42" s="24"/>
      <c r="F42" s="24"/>
      <c r="G42" s="24"/>
      <c r="H42" s="88"/>
      <c r="I42" s="88"/>
      <c r="J42" s="88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</row>
    <row r="43">
      <c r="A43" s="89" t="s">
        <v>29</v>
      </c>
      <c r="B43" s="27">
        <v>24.0</v>
      </c>
      <c r="C43" s="86"/>
      <c r="D43" s="87"/>
      <c r="E43" s="25"/>
      <c r="F43" s="25" t="s">
        <v>27</v>
      </c>
      <c r="G43" s="25" t="s">
        <v>28</v>
      </c>
      <c r="H43" s="88"/>
      <c r="I43" s="88"/>
      <c r="J43" s="88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</row>
    <row r="44">
      <c r="A44" s="90" t="s">
        <v>30</v>
      </c>
      <c r="B44" s="31">
        <v>16.0</v>
      </c>
      <c r="C44" s="86"/>
      <c r="D44" s="87"/>
      <c r="E44" s="28"/>
      <c r="F44" s="28">
        <v>1800000.0</v>
      </c>
      <c r="G44" s="29">
        <f>F44*12</f>
        <v>21600000</v>
      </c>
      <c r="H44" s="88"/>
      <c r="I44" s="88"/>
      <c r="J44" s="88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</row>
    <row r="45">
      <c r="A45" s="91" t="s">
        <v>32</v>
      </c>
      <c r="B45" s="92">
        <v>40.0</v>
      </c>
      <c r="C45" s="86"/>
      <c r="D45" s="87"/>
      <c r="E45" s="93"/>
      <c r="F45" s="32" t="s">
        <v>31</v>
      </c>
      <c r="G45" s="33">
        <f>sum(H2:H41)</f>
        <v>0</v>
      </c>
      <c r="H45" s="88"/>
      <c r="I45" s="88"/>
      <c r="J45" s="88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</row>
    <row r="46">
      <c r="B46" s="38"/>
      <c r="D46" s="94"/>
      <c r="E46" s="95"/>
      <c r="F46" s="36" t="s">
        <v>33</v>
      </c>
      <c r="G46" s="37">
        <f>G44*B45</f>
        <v>864000000</v>
      </c>
      <c r="H46" s="96"/>
      <c r="I46" s="96"/>
      <c r="J46" s="96"/>
    </row>
    <row r="47">
      <c r="A47" s="97" t="s">
        <v>34</v>
      </c>
      <c r="B47" s="40">
        <f>B49/B45</f>
        <v>0</v>
      </c>
      <c r="C47" s="41" t="s">
        <v>34</v>
      </c>
      <c r="D47" s="42">
        <f>B47</f>
        <v>0</v>
      </c>
      <c r="H47" s="96"/>
      <c r="I47" s="96"/>
      <c r="J47" s="96"/>
    </row>
    <row r="48">
      <c r="A48" s="97" t="s">
        <v>64</v>
      </c>
      <c r="B48" s="43">
        <f>COUNTIF(F2:F41,"Vacant")</f>
        <v>40</v>
      </c>
      <c r="C48" s="41" t="s">
        <v>36</v>
      </c>
      <c r="D48" s="44">
        <f>B49</f>
        <v>0</v>
      </c>
      <c r="H48" s="96"/>
      <c r="I48" s="96"/>
      <c r="J48" s="96"/>
    </row>
    <row r="49">
      <c r="A49" s="97" t="s">
        <v>36</v>
      </c>
      <c r="B49" s="43">
        <f>COUNTIF(F2:F41,"Inhouse")</f>
        <v>0</v>
      </c>
      <c r="C49" s="41" t="s">
        <v>37</v>
      </c>
      <c r="D49" s="98">
        <f>B57</f>
        <v>0</v>
      </c>
      <c r="H49" s="96"/>
      <c r="I49" s="96"/>
      <c r="J49" s="96"/>
    </row>
    <row r="50">
      <c r="A50" s="97" t="s">
        <v>38</v>
      </c>
      <c r="B50" s="46">
        <f>COUNTIF(F2:F41,"OO")</f>
        <v>0</v>
      </c>
      <c r="D50" s="94"/>
      <c r="H50" s="96"/>
      <c r="I50" s="96"/>
      <c r="J50" s="96"/>
    </row>
    <row r="51">
      <c r="A51" s="99" t="s">
        <v>39</v>
      </c>
      <c r="B51" s="48">
        <f>SUM(B48:B50)</f>
        <v>40</v>
      </c>
      <c r="C51" s="49" t="s">
        <v>40</v>
      </c>
      <c r="D51" s="100"/>
      <c r="H51" s="96"/>
      <c r="I51" s="96"/>
      <c r="J51" s="96"/>
    </row>
    <row r="52">
      <c r="A52" s="101" t="s">
        <v>41</v>
      </c>
      <c r="B52" s="52">
        <f>COUNTIF(E2:E41,"Putra")</f>
        <v>0</v>
      </c>
      <c r="C52" s="49" t="s">
        <v>42</v>
      </c>
      <c r="D52" s="102">
        <f>B52*G44</f>
        <v>0</v>
      </c>
      <c r="H52" s="96"/>
      <c r="I52" s="96"/>
      <c r="J52" s="96"/>
    </row>
    <row r="53">
      <c r="A53" s="101" t="s">
        <v>43</v>
      </c>
      <c r="B53" s="52">
        <f>COUNTIF(E2:E41,"Putri")</f>
        <v>0</v>
      </c>
      <c r="C53" s="49" t="s">
        <v>44</v>
      </c>
      <c r="D53" s="102">
        <f>B53*G44</f>
        <v>0</v>
      </c>
      <c r="H53" s="96"/>
      <c r="I53" s="96"/>
      <c r="J53" s="96"/>
    </row>
    <row r="54">
      <c r="A54" s="101" t="s">
        <v>45</v>
      </c>
      <c r="B54" s="52">
        <f>B52+B53</f>
        <v>0</v>
      </c>
      <c r="C54" s="49" t="s">
        <v>46</v>
      </c>
      <c r="D54" s="102">
        <f>D52+D53</f>
        <v>0</v>
      </c>
      <c r="H54" s="96"/>
      <c r="I54" s="96"/>
      <c r="J54" s="96"/>
    </row>
    <row r="55">
      <c r="B55" s="38"/>
      <c r="D55" s="94"/>
      <c r="H55" s="96"/>
      <c r="I55" s="96"/>
      <c r="J55" s="96"/>
    </row>
    <row r="56">
      <c r="A56" s="103" t="s">
        <v>47</v>
      </c>
      <c r="B56" s="56">
        <f>B57/B58</f>
        <v>0</v>
      </c>
      <c r="D56" s="94"/>
      <c r="H56" s="96"/>
      <c r="I56" s="96"/>
      <c r="J56" s="96"/>
    </row>
    <row r="57">
      <c r="A57" s="103" t="s">
        <v>48</v>
      </c>
      <c r="B57" s="57">
        <f t="shared" ref="B57:B58" si="3">G45</f>
        <v>0</v>
      </c>
      <c r="D57" s="94"/>
      <c r="H57" s="96"/>
      <c r="I57" s="96"/>
      <c r="J57" s="96"/>
    </row>
    <row r="58">
      <c r="A58" s="103" t="s">
        <v>49</v>
      </c>
      <c r="B58" s="57">
        <f t="shared" si="3"/>
        <v>864000000</v>
      </c>
      <c r="D58" s="94"/>
      <c r="H58" s="96"/>
      <c r="I58" s="96"/>
      <c r="J58" s="96"/>
    </row>
    <row r="59">
      <c r="B59" s="38"/>
      <c r="D59" s="94"/>
      <c r="H59" s="96"/>
      <c r="I59" s="96"/>
      <c r="J59" s="96"/>
    </row>
    <row r="60">
      <c r="B60" s="38"/>
      <c r="D60" s="94"/>
      <c r="H60" s="96"/>
      <c r="I60" s="96"/>
      <c r="J60" s="96"/>
    </row>
    <row r="61">
      <c r="B61" s="38"/>
      <c r="D61" s="94"/>
      <c r="H61" s="96"/>
      <c r="I61" s="96"/>
      <c r="J61" s="96"/>
    </row>
    <row r="62">
      <c r="B62" s="38"/>
      <c r="D62" s="94"/>
      <c r="H62" s="96"/>
      <c r="I62" s="96"/>
      <c r="J62" s="96"/>
    </row>
    <row r="63">
      <c r="B63" s="38"/>
      <c r="D63" s="94"/>
      <c r="H63" s="96"/>
      <c r="I63" s="96"/>
      <c r="J63" s="96"/>
    </row>
    <row r="64">
      <c r="B64" s="38"/>
      <c r="D64" s="94"/>
      <c r="H64" s="96"/>
      <c r="I64" s="96"/>
      <c r="J64" s="96"/>
    </row>
    <row r="65">
      <c r="B65" s="38"/>
      <c r="D65" s="94"/>
      <c r="H65" s="96"/>
      <c r="I65" s="96"/>
      <c r="J65" s="96"/>
    </row>
    <row r="66">
      <c r="B66" s="38"/>
      <c r="D66" s="94"/>
      <c r="H66" s="96"/>
      <c r="I66" s="96"/>
      <c r="J66" s="96"/>
    </row>
    <row r="67">
      <c r="B67" s="38"/>
      <c r="D67" s="94"/>
      <c r="H67" s="96"/>
      <c r="I67" s="96"/>
      <c r="J67" s="96"/>
    </row>
    <row r="68">
      <c r="B68" s="38"/>
      <c r="D68" s="94"/>
      <c r="H68" s="96"/>
      <c r="I68" s="96"/>
      <c r="J68" s="96"/>
    </row>
    <row r="69">
      <c r="B69" s="38"/>
      <c r="D69" s="94"/>
      <c r="H69" s="96"/>
      <c r="I69" s="96"/>
      <c r="J69" s="96"/>
    </row>
    <row r="70">
      <c r="B70" s="38"/>
      <c r="D70" s="94"/>
      <c r="H70" s="96"/>
      <c r="I70" s="96"/>
      <c r="J70" s="96"/>
    </row>
    <row r="71">
      <c r="B71" s="38"/>
      <c r="D71" s="94"/>
      <c r="H71" s="96"/>
      <c r="I71" s="96"/>
      <c r="J71" s="96"/>
    </row>
    <row r="72">
      <c r="B72" s="38"/>
      <c r="D72" s="94"/>
      <c r="H72" s="96"/>
      <c r="I72" s="96"/>
      <c r="J72" s="96"/>
    </row>
    <row r="73">
      <c r="B73" s="38"/>
      <c r="D73" s="94"/>
      <c r="H73" s="96"/>
      <c r="I73" s="96"/>
      <c r="J73" s="96"/>
    </row>
    <row r="74">
      <c r="B74" s="38"/>
      <c r="D74" s="94"/>
      <c r="H74" s="96"/>
      <c r="I74" s="96"/>
      <c r="J74" s="96"/>
    </row>
    <row r="75">
      <c r="B75" s="38"/>
      <c r="D75" s="94"/>
      <c r="H75" s="96"/>
      <c r="I75" s="96"/>
      <c r="J75" s="96"/>
    </row>
    <row r="76">
      <c r="B76" s="38"/>
      <c r="D76" s="94"/>
      <c r="H76" s="96"/>
      <c r="I76" s="96"/>
      <c r="J76" s="96"/>
    </row>
    <row r="77">
      <c r="B77" s="38"/>
      <c r="D77" s="94"/>
      <c r="H77" s="96"/>
      <c r="I77" s="96"/>
      <c r="J77" s="96"/>
    </row>
    <row r="78">
      <c r="B78" s="38"/>
      <c r="D78" s="94"/>
      <c r="H78" s="96"/>
      <c r="I78" s="96"/>
      <c r="J78" s="96"/>
    </row>
    <row r="79">
      <c r="B79" s="38"/>
      <c r="D79" s="94"/>
      <c r="H79" s="96"/>
      <c r="I79" s="96"/>
      <c r="J79" s="96"/>
    </row>
    <row r="80">
      <c r="B80" s="38"/>
      <c r="D80" s="94"/>
      <c r="H80" s="96"/>
      <c r="I80" s="96"/>
      <c r="J80" s="96"/>
    </row>
    <row r="81">
      <c r="B81" s="38"/>
      <c r="D81" s="94"/>
      <c r="H81" s="96"/>
      <c r="I81" s="96"/>
      <c r="J81" s="96"/>
    </row>
    <row r="82">
      <c r="B82" s="38"/>
      <c r="D82" s="94"/>
      <c r="H82" s="96"/>
      <c r="I82" s="96"/>
      <c r="J82" s="96"/>
    </row>
    <row r="83">
      <c r="B83" s="38"/>
      <c r="D83" s="94"/>
      <c r="H83" s="96"/>
      <c r="I83" s="96"/>
      <c r="J83" s="96"/>
    </row>
    <row r="84">
      <c r="B84" s="38"/>
      <c r="D84" s="94"/>
      <c r="H84" s="96"/>
      <c r="I84" s="96"/>
      <c r="J84" s="96"/>
    </row>
    <row r="85">
      <c r="B85" s="38"/>
      <c r="D85" s="94"/>
      <c r="H85" s="96"/>
      <c r="I85" s="96"/>
      <c r="J85" s="96"/>
    </row>
    <row r="86">
      <c r="B86" s="38"/>
      <c r="D86" s="94"/>
      <c r="H86" s="96"/>
      <c r="I86" s="96"/>
      <c r="J86" s="96"/>
    </row>
    <row r="87">
      <c r="B87" s="38"/>
      <c r="D87" s="94"/>
      <c r="H87" s="96"/>
      <c r="I87" s="96"/>
      <c r="J87" s="96"/>
    </row>
    <row r="88">
      <c r="B88" s="38"/>
      <c r="D88" s="94"/>
      <c r="H88" s="96"/>
      <c r="I88" s="96"/>
      <c r="J88" s="96"/>
    </row>
    <row r="89">
      <c r="B89" s="38"/>
      <c r="D89" s="94"/>
      <c r="H89" s="96"/>
      <c r="I89" s="96"/>
      <c r="J89" s="96"/>
    </row>
    <row r="90">
      <c r="B90" s="38"/>
      <c r="D90" s="94"/>
      <c r="H90" s="96"/>
      <c r="I90" s="96"/>
      <c r="J90" s="96"/>
    </row>
    <row r="91">
      <c r="B91" s="38"/>
      <c r="D91" s="94"/>
      <c r="H91" s="96"/>
      <c r="I91" s="96"/>
      <c r="J91" s="96"/>
    </row>
    <row r="92">
      <c r="B92" s="38"/>
      <c r="D92" s="94"/>
      <c r="H92" s="96"/>
      <c r="I92" s="96"/>
      <c r="J92" s="96"/>
    </row>
    <row r="93">
      <c r="B93" s="38"/>
      <c r="D93" s="94"/>
      <c r="H93" s="96"/>
      <c r="I93" s="96"/>
      <c r="J93" s="96"/>
    </row>
    <row r="94">
      <c r="B94" s="38"/>
      <c r="D94" s="94"/>
      <c r="H94" s="96"/>
      <c r="I94" s="96"/>
      <c r="J94" s="96"/>
    </row>
    <row r="95">
      <c r="B95" s="38"/>
      <c r="D95" s="94"/>
      <c r="H95" s="96"/>
      <c r="I95" s="96"/>
      <c r="J95" s="96"/>
    </row>
    <row r="96">
      <c r="B96" s="38"/>
      <c r="D96" s="94"/>
      <c r="H96" s="96"/>
      <c r="I96" s="96"/>
      <c r="J96" s="96"/>
    </row>
    <row r="97">
      <c r="B97" s="38"/>
      <c r="D97" s="94"/>
      <c r="H97" s="96"/>
      <c r="I97" s="96"/>
      <c r="J97" s="96"/>
    </row>
    <row r="98">
      <c r="B98" s="38"/>
      <c r="D98" s="94"/>
      <c r="H98" s="96"/>
      <c r="I98" s="96"/>
      <c r="J98" s="96"/>
    </row>
    <row r="99">
      <c r="B99" s="38"/>
      <c r="D99" s="94"/>
      <c r="H99" s="96"/>
      <c r="I99" s="96"/>
      <c r="J99" s="96"/>
    </row>
    <row r="100">
      <c r="B100" s="38"/>
      <c r="D100" s="94"/>
      <c r="H100" s="96"/>
      <c r="I100" s="96"/>
      <c r="J100" s="96"/>
    </row>
    <row r="101">
      <c r="B101" s="38"/>
      <c r="D101" s="94"/>
      <c r="H101" s="96"/>
      <c r="I101" s="96"/>
      <c r="J101" s="96"/>
    </row>
    <row r="102">
      <c r="B102" s="38"/>
      <c r="D102" s="94"/>
      <c r="H102" s="96"/>
      <c r="I102" s="96"/>
      <c r="J102" s="96"/>
    </row>
    <row r="103">
      <c r="B103" s="38"/>
      <c r="D103" s="94"/>
      <c r="H103" s="96"/>
      <c r="I103" s="96"/>
      <c r="J103" s="96"/>
    </row>
    <row r="104">
      <c r="B104" s="38"/>
      <c r="D104" s="94"/>
      <c r="H104" s="96"/>
      <c r="I104" s="96"/>
      <c r="J104" s="96"/>
    </row>
    <row r="105">
      <c r="B105" s="38"/>
      <c r="D105" s="94"/>
      <c r="H105" s="96"/>
      <c r="I105" s="96"/>
      <c r="J105" s="96"/>
    </row>
    <row r="106">
      <c r="B106" s="38"/>
      <c r="D106" s="94"/>
      <c r="H106" s="96"/>
      <c r="I106" s="96"/>
      <c r="J106" s="96"/>
    </row>
    <row r="107">
      <c r="B107" s="38"/>
      <c r="D107" s="94"/>
      <c r="H107" s="96"/>
      <c r="I107" s="96"/>
      <c r="J107" s="96"/>
    </row>
    <row r="108">
      <c r="B108" s="38"/>
      <c r="D108" s="94"/>
      <c r="H108" s="96"/>
      <c r="I108" s="96"/>
      <c r="J108" s="96"/>
    </row>
    <row r="109">
      <c r="B109" s="38"/>
      <c r="D109" s="94"/>
      <c r="H109" s="96"/>
      <c r="I109" s="96"/>
      <c r="J109" s="96"/>
    </row>
    <row r="110">
      <c r="B110" s="38"/>
      <c r="D110" s="94"/>
      <c r="H110" s="96"/>
      <c r="I110" s="96"/>
      <c r="J110" s="96"/>
    </row>
    <row r="111">
      <c r="B111" s="38"/>
      <c r="D111" s="94"/>
      <c r="H111" s="96"/>
      <c r="I111" s="96"/>
      <c r="J111" s="96"/>
    </row>
    <row r="112">
      <c r="B112" s="38"/>
      <c r="D112" s="94"/>
      <c r="H112" s="96"/>
      <c r="I112" s="96"/>
      <c r="J112" s="96"/>
    </row>
    <row r="113">
      <c r="B113" s="38"/>
      <c r="D113" s="94"/>
      <c r="H113" s="96"/>
      <c r="I113" s="96"/>
      <c r="J113" s="96"/>
    </row>
    <row r="114">
      <c r="B114" s="38"/>
      <c r="D114" s="94"/>
      <c r="H114" s="96"/>
      <c r="I114" s="96"/>
      <c r="J114" s="96"/>
    </row>
    <row r="115">
      <c r="B115" s="38"/>
      <c r="D115" s="94"/>
      <c r="H115" s="96"/>
      <c r="I115" s="96"/>
      <c r="J115" s="96"/>
    </row>
    <row r="116">
      <c r="B116" s="38"/>
      <c r="D116" s="94"/>
      <c r="H116" s="96"/>
      <c r="I116" s="96"/>
      <c r="J116" s="96"/>
    </row>
    <row r="117">
      <c r="B117" s="38"/>
      <c r="D117" s="94"/>
      <c r="H117" s="96"/>
      <c r="I117" s="96"/>
      <c r="J117" s="96"/>
    </row>
    <row r="118">
      <c r="B118" s="38"/>
      <c r="D118" s="94"/>
      <c r="H118" s="96"/>
      <c r="I118" s="96"/>
      <c r="J118" s="96"/>
    </row>
    <row r="119">
      <c r="B119" s="38"/>
      <c r="D119" s="94"/>
      <c r="H119" s="96"/>
      <c r="I119" s="96"/>
      <c r="J119" s="96"/>
    </row>
    <row r="120">
      <c r="B120" s="38"/>
      <c r="D120" s="94"/>
      <c r="H120" s="96"/>
      <c r="I120" s="96"/>
      <c r="J120" s="96"/>
    </row>
    <row r="121">
      <c r="B121" s="38"/>
      <c r="D121" s="94"/>
      <c r="H121" s="96"/>
      <c r="I121" s="96"/>
      <c r="J121" s="96"/>
    </row>
    <row r="122">
      <c r="B122" s="38"/>
      <c r="D122" s="94"/>
      <c r="H122" s="96"/>
      <c r="I122" s="96"/>
      <c r="J122" s="96"/>
    </row>
    <row r="123">
      <c r="B123" s="38"/>
      <c r="D123" s="94"/>
      <c r="H123" s="96"/>
      <c r="I123" s="96"/>
      <c r="J123" s="96"/>
    </row>
    <row r="124">
      <c r="B124" s="38"/>
      <c r="D124" s="94"/>
      <c r="H124" s="96"/>
      <c r="I124" s="96"/>
      <c r="J124" s="96"/>
    </row>
    <row r="125">
      <c r="B125" s="38"/>
      <c r="D125" s="94"/>
      <c r="H125" s="96"/>
      <c r="I125" s="96"/>
      <c r="J125" s="96"/>
    </row>
    <row r="126">
      <c r="B126" s="38"/>
      <c r="D126" s="94"/>
      <c r="H126" s="96"/>
      <c r="I126" s="96"/>
      <c r="J126" s="96"/>
    </row>
    <row r="127">
      <c r="B127" s="38"/>
      <c r="D127" s="94"/>
      <c r="H127" s="96"/>
      <c r="I127" s="96"/>
      <c r="J127" s="96"/>
    </row>
    <row r="128">
      <c r="B128" s="38"/>
      <c r="D128" s="94"/>
      <c r="H128" s="96"/>
      <c r="I128" s="96"/>
      <c r="J128" s="96"/>
    </row>
    <row r="129">
      <c r="B129" s="38"/>
      <c r="D129" s="94"/>
      <c r="H129" s="96"/>
      <c r="I129" s="96"/>
      <c r="J129" s="96"/>
    </row>
    <row r="130">
      <c r="B130" s="38"/>
      <c r="D130" s="94"/>
      <c r="H130" s="96"/>
      <c r="I130" s="96"/>
      <c r="J130" s="96"/>
    </row>
    <row r="131">
      <c r="B131" s="38"/>
      <c r="D131" s="94"/>
      <c r="H131" s="96"/>
      <c r="I131" s="96"/>
      <c r="J131" s="96"/>
    </row>
    <row r="132">
      <c r="B132" s="38"/>
      <c r="D132" s="94"/>
      <c r="H132" s="96"/>
      <c r="I132" s="96"/>
      <c r="J132" s="96"/>
    </row>
    <row r="133">
      <c r="B133" s="38"/>
      <c r="D133" s="94"/>
      <c r="H133" s="96"/>
      <c r="I133" s="96"/>
      <c r="J133" s="96"/>
    </row>
    <row r="134">
      <c r="B134" s="38"/>
      <c r="D134" s="94"/>
      <c r="H134" s="96"/>
      <c r="I134" s="96"/>
      <c r="J134" s="96"/>
    </row>
    <row r="135">
      <c r="B135" s="38"/>
      <c r="D135" s="94"/>
      <c r="H135" s="96"/>
      <c r="I135" s="96"/>
      <c r="J135" s="96"/>
    </row>
    <row r="136">
      <c r="B136" s="38"/>
      <c r="D136" s="94"/>
      <c r="H136" s="96"/>
      <c r="I136" s="96"/>
      <c r="J136" s="96"/>
    </row>
    <row r="137">
      <c r="B137" s="38"/>
      <c r="D137" s="94"/>
      <c r="H137" s="96"/>
      <c r="I137" s="96"/>
      <c r="J137" s="96"/>
    </row>
    <row r="138">
      <c r="B138" s="38"/>
      <c r="D138" s="94"/>
      <c r="H138" s="96"/>
      <c r="I138" s="96"/>
      <c r="J138" s="96"/>
    </row>
    <row r="139">
      <c r="B139" s="38"/>
      <c r="D139" s="94"/>
      <c r="H139" s="96"/>
      <c r="I139" s="96"/>
      <c r="J139" s="96"/>
    </row>
    <row r="140">
      <c r="B140" s="38"/>
      <c r="D140" s="94"/>
      <c r="H140" s="96"/>
      <c r="I140" s="96"/>
      <c r="J140" s="96"/>
    </row>
    <row r="141">
      <c r="B141" s="38"/>
      <c r="D141" s="94"/>
      <c r="H141" s="96"/>
      <c r="I141" s="96"/>
      <c r="J141" s="96"/>
    </row>
    <row r="142">
      <c r="B142" s="38"/>
      <c r="D142" s="94"/>
      <c r="H142" s="96"/>
      <c r="I142" s="96"/>
      <c r="J142" s="96"/>
    </row>
    <row r="143">
      <c r="B143" s="38"/>
      <c r="D143" s="94"/>
      <c r="H143" s="96"/>
      <c r="I143" s="96"/>
      <c r="J143" s="96"/>
    </row>
    <row r="144">
      <c r="B144" s="38"/>
      <c r="D144" s="94"/>
      <c r="H144" s="96"/>
      <c r="I144" s="96"/>
      <c r="J144" s="96"/>
    </row>
    <row r="145">
      <c r="B145" s="38"/>
      <c r="D145" s="94"/>
      <c r="H145" s="96"/>
      <c r="I145" s="96"/>
      <c r="J145" s="96"/>
    </row>
    <row r="146">
      <c r="B146" s="38"/>
      <c r="D146" s="94"/>
      <c r="H146" s="96"/>
      <c r="I146" s="96"/>
      <c r="J146" s="96"/>
    </row>
    <row r="147">
      <c r="B147" s="38"/>
      <c r="D147" s="94"/>
      <c r="H147" s="96"/>
      <c r="I147" s="96"/>
      <c r="J147" s="96"/>
    </row>
    <row r="148">
      <c r="B148" s="38"/>
      <c r="D148" s="94"/>
      <c r="H148" s="96"/>
      <c r="I148" s="96"/>
      <c r="J148" s="96"/>
    </row>
    <row r="149">
      <c r="B149" s="38"/>
      <c r="D149" s="94"/>
      <c r="H149" s="96"/>
      <c r="I149" s="96"/>
      <c r="J149" s="96"/>
    </row>
    <row r="150">
      <c r="B150" s="38"/>
      <c r="D150" s="94"/>
      <c r="H150" s="96"/>
      <c r="I150" s="96"/>
      <c r="J150" s="96"/>
    </row>
    <row r="151">
      <c r="B151" s="38"/>
      <c r="D151" s="94"/>
      <c r="H151" s="96"/>
      <c r="I151" s="96"/>
      <c r="J151" s="96"/>
    </row>
    <row r="152">
      <c r="B152" s="38"/>
      <c r="D152" s="94"/>
      <c r="H152" s="96"/>
      <c r="I152" s="96"/>
      <c r="J152" s="96"/>
    </row>
    <row r="153">
      <c r="B153" s="38"/>
      <c r="D153" s="94"/>
      <c r="H153" s="96"/>
      <c r="I153" s="96"/>
      <c r="J153" s="96"/>
    </row>
    <row r="154">
      <c r="B154" s="38"/>
      <c r="D154" s="94"/>
      <c r="H154" s="96"/>
      <c r="I154" s="96"/>
      <c r="J154" s="96"/>
    </row>
    <row r="155">
      <c r="B155" s="38"/>
      <c r="D155" s="94"/>
      <c r="H155" s="96"/>
      <c r="I155" s="96"/>
      <c r="J155" s="96"/>
    </row>
    <row r="156">
      <c r="B156" s="38"/>
      <c r="D156" s="94"/>
      <c r="H156" s="96"/>
      <c r="I156" s="96"/>
      <c r="J156" s="96"/>
    </row>
    <row r="157">
      <c r="B157" s="38"/>
      <c r="D157" s="94"/>
      <c r="H157" s="96"/>
      <c r="I157" s="96"/>
      <c r="J157" s="96"/>
    </row>
    <row r="158">
      <c r="B158" s="38"/>
      <c r="D158" s="94"/>
      <c r="H158" s="96"/>
      <c r="I158" s="96"/>
      <c r="J158" s="96"/>
    </row>
    <row r="159">
      <c r="B159" s="38"/>
      <c r="D159" s="94"/>
      <c r="H159" s="96"/>
      <c r="I159" s="96"/>
      <c r="J159" s="96"/>
    </row>
    <row r="160">
      <c r="B160" s="38"/>
      <c r="D160" s="94"/>
      <c r="H160" s="96"/>
      <c r="I160" s="96"/>
      <c r="J160" s="96"/>
    </row>
    <row r="161">
      <c r="B161" s="38"/>
      <c r="D161" s="94"/>
      <c r="H161" s="96"/>
      <c r="I161" s="96"/>
      <c r="J161" s="96"/>
    </row>
    <row r="162">
      <c r="B162" s="38"/>
      <c r="D162" s="94"/>
      <c r="H162" s="96"/>
      <c r="I162" s="96"/>
      <c r="J162" s="96"/>
    </row>
    <row r="163">
      <c r="B163" s="38"/>
      <c r="D163" s="94"/>
      <c r="H163" s="96"/>
      <c r="I163" s="96"/>
      <c r="J163" s="96"/>
    </row>
    <row r="164">
      <c r="B164" s="38"/>
      <c r="D164" s="94"/>
      <c r="H164" s="96"/>
      <c r="I164" s="96"/>
      <c r="J164" s="96"/>
    </row>
    <row r="165">
      <c r="B165" s="38"/>
      <c r="D165" s="94"/>
      <c r="H165" s="96"/>
      <c r="I165" s="96"/>
      <c r="J165" s="96"/>
    </row>
    <row r="166">
      <c r="B166" s="38"/>
      <c r="D166" s="94"/>
      <c r="H166" s="96"/>
      <c r="I166" s="96"/>
      <c r="J166" s="96"/>
    </row>
    <row r="167">
      <c r="B167" s="38"/>
      <c r="D167" s="94"/>
      <c r="H167" s="96"/>
      <c r="I167" s="96"/>
      <c r="J167" s="96"/>
    </row>
    <row r="168">
      <c r="B168" s="38"/>
      <c r="D168" s="94"/>
      <c r="H168" s="96"/>
      <c r="I168" s="96"/>
      <c r="J168" s="96"/>
    </row>
    <row r="169">
      <c r="B169" s="38"/>
      <c r="D169" s="94"/>
      <c r="H169" s="96"/>
      <c r="I169" s="96"/>
      <c r="J169" s="96"/>
    </row>
    <row r="170">
      <c r="B170" s="38"/>
      <c r="D170" s="94"/>
      <c r="H170" s="96"/>
      <c r="I170" s="96"/>
      <c r="J170" s="96"/>
    </row>
    <row r="171">
      <c r="B171" s="38"/>
      <c r="D171" s="94"/>
      <c r="H171" s="96"/>
      <c r="I171" s="96"/>
      <c r="J171" s="96"/>
    </row>
    <row r="172">
      <c r="B172" s="38"/>
      <c r="D172" s="94"/>
      <c r="H172" s="96"/>
      <c r="I172" s="96"/>
      <c r="J172" s="96"/>
    </row>
    <row r="173">
      <c r="B173" s="38"/>
      <c r="D173" s="94"/>
      <c r="H173" s="96"/>
      <c r="I173" s="96"/>
      <c r="J173" s="96"/>
    </row>
    <row r="174">
      <c r="B174" s="38"/>
      <c r="D174" s="94"/>
      <c r="H174" s="96"/>
      <c r="I174" s="96"/>
      <c r="J174" s="96"/>
    </row>
    <row r="175">
      <c r="B175" s="38"/>
      <c r="D175" s="94"/>
      <c r="H175" s="96"/>
      <c r="I175" s="96"/>
      <c r="J175" s="96"/>
    </row>
    <row r="176">
      <c r="B176" s="38"/>
      <c r="D176" s="94"/>
      <c r="H176" s="96"/>
      <c r="I176" s="96"/>
      <c r="J176" s="96"/>
    </row>
    <row r="177">
      <c r="B177" s="38"/>
      <c r="D177" s="94"/>
      <c r="H177" s="96"/>
      <c r="I177" s="96"/>
      <c r="J177" s="96"/>
    </row>
    <row r="178">
      <c r="B178" s="38"/>
      <c r="D178" s="94"/>
      <c r="H178" s="96"/>
      <c r="I178" s="96"/>
      <c r="J178" s="96"/>
    </row>
    <row r="179">
      <c r="B179" s="38"/>
      <c r="D179" s="94"/>
      <c r="H179" s="96"/>
      <c r="I179" s="96"/>
      <c r="J179" s="96"/>
    </row>
    <row r="180">
      <c r="B180" s="38"/>
      <c r="D180" s="94"/>
      <c r="H180" s="96"/>
      <c r="I180" s="96"/>
      <c r="J180" s="96"/>
    </row>
    <row r="181">
      <c r="B181" s="38"/>
      <c r="D181" s="94"/>
      <c r="H181" s="96"/>
      <c r="I181" s="96"/>
      <c r="J181" s="96"/>
    </row>
    <row r="182">
      <c r="B182" s="38"/>
      <c r="D182" s="94"/>
      <c r="H182" s="96"/>
      <c r="I182" s="96"/>
      <c r="J182" s="96"/>
    </row>
    <row r="183">
      <c r="B183" s="38"/>
      <c r="D183" s="94"/>
      <c r="H183" s="96"/>
      <c r="I183" s="96"/>
      <c r="J183" s="96"/>
    </row>
    <row r="184">
      <c r="B184" s="38"/>
      <c r="D184" s="94"/>
      <c r="H184" s="96"/>
      <c r="I184" s="96"/>
      <c r="J184" s="96"/>
    </row>
    <row r="185">
      <c r="B185" s="38"/>
      <c r="D185" s="94"/>
      <c r="H185" s="96"/>
      <c r="I185" s="96"/>
      <c r="J185" s="96"/>
    </row>
    <row r="186">
      <c r="B186" s="38"/>
      <c r="D186" s="94"/>
      <c r="H186" s="96"/>
      <c r="I186" s="96"/>
      <c r="J186" s="96"/>
    </row>
    <row r="187">
      <c r="B187" s="38"/>
      <c r="D187" s="94"/>
      <c r="H187" s="96"/>
      <c r="I187" s="96"/>
      <c r="J187" s="96"/>
    </row>
    <row r="188">
      <c r="B188" s="38"/>
      <c r="D188" s="94"/>
      <c r="H188" s="96"/>
      <c r="I188" s="96"/>
      <c r="J188" s="96"/>
    </row>
    <row r="189">
      <c r="B189" s="38"/>
      <c r="D189" s="94"/>
      <c r="H189" s="96"/>
      <c r="I189" s="96"/>
      <c r="J189" s="96"/>
    </row>
    <row r="190">
      <c r="B190" s="38"/>
      <c r="D190" s="94"/>
      <c r="H190" s="96"/>
      <c r="I190" s="96"/>
      <c r="J190" s="96"/>
    </row>
    <row r="191">
      <c r="B191" s="38"/>
      <c r="D191" s="94"/>
      <c r="H191" s="96"/>
      <c r="I191" s="96"/>
      <c r="J191" s="96"/>
    </row>
    <row r="192">
      <c r="B192" s="38"/>
      <c r="D192" s="94"/>
      <c r="H192" s="96"/>
      <c r="I192" s="96"/>
      <c r="J192" s="96"/>
    </row>
    <row r="193">
      <c r="B193" s="38"/>
      <c r="D193" s="94"/>
      <c r="H193" s="96"/>
      <c r="I193" s="96"/>
      <c r="J193" s="96"/>
    </row>
    <row r="194">
      <c r="B194" s="38"/>
      <c r="D194" s="94"/>
      <c r="H194" s="96"/>
      <c r="I194" s="96"/>
      <c r="J194" s="96"/>
    </row>
    <row r="195">
      <c r="B195" s="38"/>
      <c r="D195" s="94"/>
      <c r="H195" s="96"/>
      <c r="I195" s="96"/>
      <c r="J195" s="96"/>
    </row>
    <row r="196">
      <c r="B196" s="38"/>
      <c r="D196" s="94"/>
      <c r="H196" s="96"/>
      <c r="I196" s="96"/>
      <c r="J196" s="96"/>
    </row>
    <row r="197">
      <c r="B197" s="38"/>
      <c r="D197" s="94"/>
      <c r="H197" s="96"/>
      <c r="I197" s="96"/>
      <c r="J197" s="96"/>
    </row>
    <row r="198">
      <c r="B198" s="38"/>
      <c r="D198" s="94"/>
      <c r="H198" s="96"/>
      <c r="I198" s="96"/>
      <c r="J198" s="96"/>
    </row>
    <row r="199">
      <c r="B199" s="38"/>
      <c r="D199" s="94"/>
      <c r="H199" s="96"/>
      <c r="I199" s="96"/>
      <c r="J199" s="96"/>
    </row>
    <row r="200">
      <c r="B200" s="38"/>
      <c r="D200" s="94"/>
      <c r="H200" s="96"/>
      <c r="I200" s="96"/>
      <c r="J200" s="96"/>
    </row>
    <row r="201">
      <c r="B201" s="38"/>
      <c r="D201" s="94"/>
      <c r="H201" s="96"/>
      <c r="I201" s="96"/>
      <c r="J201" s="96"/>
    </row>
    <row r="202">
      <c r="B202" s="38"/>
      <c r="D202" s="94"/>
      <c r="H202" s="96"/>
      <c r="I202" s="96"/>
      <c r="J202" s="96"/>
    </row>
    <row r="203">
      <c r="B203" s="38"/>
      <c r="D203" s="94"/>
      <c r="H203" s="96"/>
      <c r="I203" s="96"/>
      <c r="J203" s="96"/>
    </row>
    <row r="204">
      <c r="B204" s="38"/>
      <c r="D204" s="94"/>
      <c r="H204" s="96"/>
      <c r="I204" s="96"/>
      <c r="J204" s="96"/>
    </row>
    <row r="205">
      <c r="B205" s="38"/>
      <c r="D205" s="94"/>
      <c r="H205" s="96"/>
      <c r="I205" s="96"/>
      <c r="J205" s="96"/>
    </row>
    <row r="206">
      <c r="B206" s="38"/>
      <c r="D206" s="94"/>
      <c r="H206" s="96"/>
      <c r="I206" s="96"/>
      <c r="J206" s="96"/>
    </row>
    <row r="207">
      <c r="B207" s="38"/>
      <c r="D207" s="94"/>
      <c r="H207" s="96"/>
      <c r="I207" s="96"/>
      <c r="J207" s="96"/>
    </row>
    <row r="208">
      <c r="B208" s="38"/>
      <c r="D208" s="94"/>
      <c r="H208" s="96"/>
      <c r="I208" s="96"/>
      <c r="J208" s="96"/>
    </row>
    <row r="209">
      <c r="B209" s="38"/>
      <c r="D209" s="94"/>
      <c r="H209" s="96"/>
      <c r="I209" s="96"/>
      <c r="J209" s="96"/>
    </row>
    <row r="210">
      <c r="B210" s="38"/>
      <c r="D210" s="94"/>
      <c r="H210" s="96"/>
      <c r="I210" s="96"/>
      <c r="J210" s="96"/>
    </row>
    <row r="211">
      <c r="B211" s="38"/>
      <c r="D211" s="94"/>
      <c r="H211" s="96"/>
      <c r="I211" s="96"/>
      <c r="J211" s="96"/>
    </row>
    <row r="212">
      <c r="B212" s="38"/>
      <c r="D212" s="94"/>
      <c r="H212" s="96"/>
      <c r="I212" s="96"/>
      <c r="J212" s="96"/>
    </row>
    <row r="213">
      <c r="B213" s="38"/>
      <c r="D213" s="94"/>
      <c r="H213" s="96"/>
      <c r="I213" s="96"/>
      <c r="J213" s="96"/>
    </row>
    <row r="214">
      <c r="B214" s="38"/>
      <c r="D214" s="94"/>
      <c r="H214" s="96"/>
      <c r="I214" s="96"/>
      <c r="J214" s="96"/>
    </row>
    <row r="215">
      <c r="B215" s="38"/>
      <c r="D215" s="94"/>
      <c r="H215" s="96"/>
      <c r="I215" s="96"/>
      <c r="J215" s="96"/>
    </row>
    <row r="216">
      <c r="B216" s="38"/>
      <c r="D216" s="94"/>
      <c r="H216" s="96"/>
      <c r="I216" s="96"/>
      <c r="J216" s="96"/>
    </row>
    <row r="217">
      <c r="B217" s="38"/>
      <c r="D217" s="94"/>
      <c r="H217" s="96"/>
      <c r="I217" s="96"/>
      <c r="J217" s="96"/>
    </row>
    <row r="218">
      <c r="B218" s="38"/>
      <c r="D218" s="94"/>
      <c r="H218" s="96"/>
      <c r="I218" s="96"/>
      <c r="J218" s="96"/>
    </row>
    <row r="219">
      <c r="B219" s="38"/>
      <c r="D219" s="94"/>
      <c r="H219" s="96"/>
      <c r="I219" s="96"/>
      <c r="J219" s="96"/>
    </row>
    <row r="220">
      <c r="B220" s="38"/>
      <c r="D220" s="94"/>
      <c r="H220" s="96"/>
      <c r="I220" s="96"/>
      <c r="J220" s="96"/>
    </row>
    <row r="221">
      <c r="B221" s="38"/>
      <c r="D221" s="94"/>
      <c r="H221" s="96"/>
      <c r="I221" s="96"/>
      <c r="J221" s="96"/>
    </row>
    <row r="222">
      <c r="B222" s="38"/>
      <c r="D222" s="94"/>
      <c r="H222" s="96"/>
      <c r="I222" s="96"/>
      <c r="J222" s="96"/>
    </row>
    <row r="223">
      <c r="B223" s="38"/>
      <c r="D223" s="94"/>
      <c r="H223" s="96"/>
      <c r="I223" s="96"/>
      <c r="J223" s="96"/>
    </row>
    <row r="224">
      <c r="B224" s="38"/>
      <c r="D224" s="94"/>
      <c r="H224" s="96"/>
      <c r="I224" s="96"/>
      <c r="J224" s="96"/>
    </row>
    <row r="225">
      <c r="B225" s="38"/>
      <c r="D225" s="94"/>
      <c r="H225" s="96"/>
      <c r="I225" s="96"/>
      <c r="J225" s="96"/>
    </row>
    <row r="226">
      <c r="B226" s="38"/>
      <c r="D226" s="94"/>
      <c r="H226" s="96"/>
      <c r="I226" s="96"/>
      <c r="J226" s="96"/>
    </row>
    <row r="227">
      <c r="B227" s="38"/>
      <c r="D227" s="94"/>
      <c r="H227" s="96"/>
      <c r="I227" s="96"/>
      <c r="J227" s="96"/>
    </row>
    <row r="228">
      <c r="B228" s="38"/>
      <c r="D228" s="94"/>
      <c r="H228" s="96"/>
      <c r="I228" s="96"/>
      <c r="J228" s="96"/>
    </row>
    <row r="229">
      <c r="B229" s="38"/>
      <c r="D229" s="94"/>
      <c r="H229" s="96"/>
      <c r="I229" s="96"/>
      <c r="J229" s="96"/>
    </row>
    <row r="230">
      <c r="B230" s="38"/>
      <c r="D230" s="94"/>
      <c r="H230" s="96"/>
      <c r="I230" s="96"/>
      <c r="J230" s="96"/>
    </row>
    <row r="231">
      <c r="B231" s="38"/>
      <c r="D231" s="94"/>
      <c r="H231" s="96"/>
      <c r="I231" s="96"/>
      <c r="J231" s="96"/>
    </row>
    <row r="232">
      <c r="B232" s="38"/>
      <c r="D232" s="94"/>
      <c r="H232" s="96"/>
      <c r="I232" s="96"/>
      <c r="J232" s="96"/>
    </row>
    <row r="233">
      <c r="B233" s="38"/>
      <c r="D233" s="94"/>
      <c r="H233" s="96"/>
      <c r="I233" s="96"/>
      <c r="J233" s="96"/>
    </row>
    <row r="234">
      <c r="B234" s="38"/>
      <c r="D234" s="94"/>
      <c r="H234" s="96"/>
      <c r="I234" s="96"/>
      <c r="J234" s="96"/>
    </row>
    <row r="235">
      <c r="B235" s="38"/>
      <c r="D235" s="94"/>
      <c r="H235" s="96"/>
      <c r="I235" s="96"/>
      <c r="J235" s="96"/>
    </row>
    <row r="236">
      <c r="B236" s="38"/>
      <c r="D236" s="94"/>
      <c r="H236" s="96"/>
      <c r="I236" s="96"/>
      <c r="J236" s="96"/>
    </row>
    <row r="237">
      <c r="B237" s="38"/>
      <c r="D237" s="94"/>
      <c r="H237" s="96"/>
      <c r="I237" s="96"/>
      <c r="J237" s="96"/>
    </row>
    <row r="238">
      <c r="B238" s="38"/>
      <c r="D238" s="94"/>
      <c r="H238" s="96"/>
      <c r="I238" s="96"/>
      <c r="J238" s="96"/>
    </row>
    <row r="239">
      <c r="B239" s="38"/>
      <c r="D239" s="94"/>
      <c r="H239" s="96"/>
      <c r="I239" s="96"/>
      <c r="J239" s="96"/>
    </row>
    <row r="240">
      <c r="B240" s="38"/>
      <c r="D240" s="94"/>
      <c r="H240" s="96"/>
      <c r="I240" s="96"/>
      <c r="J240" s="96"/>
    </row>
    <row r="241">
      <c r="B241" s="38"/>
      <c r="D241" s="94"/>
      <c r="H241" s="96"/>
      <c r="I241" s="96"/>
      <c r="J241" s="96"/>
    </row>
    <row r="242">
      <c r="B242" s="38"/>
      <c r="D242" s="94"/>
      <c r="H242" s="96"/>
      <c r="I242" s="96"/>
      <c r="J242" s="96"/>
    </row>
    <row r="243">
      <c r="B243" s="38"/>
      <c r="D243" s="94"/>
      <c r="H243" s="96"/>
      <c r="I243" s="96"/>
      <c r="J243" s="96"/>
    </row>
    <row r="244">
      <c r="B244" s="38"/>
      <c r="D244" s="94"/>
      <c r="H244" s="96"/>
      <c r="I244" s="96"/>
      <c r="J244" s="96"/>
    </row>
    <row r="245">
      <c r="B245" s="38"/>
      <c r="D245" s="94"/>
      <c r="H245" s="96"/>
      <c r="I245" s="96"/>
      <c r="J245" s="96"/>
    </row>
    <row r="246">
      <c r="B246" s="38"/>
      <c r="D246" s="94"/>
      <c r="H246" s="96"/>
      <c r="I246" s="96"/>
      <c r="J246" s="96"/>
    </row>
    <row r="247">
      <c r="B247" s="38"/>
      <c r="D247" s="94"/>
      <c r="H247" s="96"/>
      <c r="I247" s="96"/>
      <c r="J247" s="96"/>
    </row>
    <row r="248">
      <c r="B248" s="38"/>
      <c r="D248" s="94"/>
      <c r="H248" s="96"/>
      <c r="I248" s="96"/>
      <c r="J248" s="96"/>
    </row>
    <row r="249">
      <c r="B249" s="38"/>
      <c r="D249" s="94"/>
      <c r="H249" s="96"/>
      <c r="I249" s="96"/>
      <c r="J249" s="96"/>
    </row>
    <row r="250">
      <c r="B250" s="38"/>
      <c r="D250" s="94"/>
      <c r="H250" s="96"/>
      <c r="I250" s="96"/>
      <c r="J250" s="96"/>
    </row>
    <row r="251">
      <c r="B251" s="38"/>
      <c r="D251" s="94"/>
      <c r="H251" s="96"/>
      <c r="I251" s="96"/>
      <c r="J251" s="96"/>
    </row>
    <row r="252">
      <c r="B252" s="38"/>
      <c r="D252" s="94"/>
      <c r="H252" s="96"/>
      <c r="I252" s="96"/>
      <c r="J252" s="96"/>
    </row>
    <row r="253">
      <c r="B253" s="38"/>
      <c r="D253" s="94"/>
      <c r="H253" s="96"/>
      <c r="I253" s="96"/>
      <c r="J253" s="96"/>
    </row>
    <row r="254">
      <c r="B254" s="38"/>
      <c r="D254" s="94"/>
      <c r="H254" s="96"/>
      <c r="I254" s="96"/>
      <c r="J254" s="96"/>
    </row>
    <row r="255">
      <c r="B255" s="38"/>
      <c r="D255" s="94"/>
      <c r="H255" s="96"/>
      <c r="I255" s="96"/>
      <c r="J255" s="96"/>
    </row>
    <row r="256">
      <c r="B256" s="38"/>
      <c r="D256" s="94"/>
      <c r="H256" s="96"/>
      <c r="I256" s="96"/>
      <c r="J256" s="96"/>
    </row>
    <row r="257">
      <c r="B257" s="38"/>
      <c r="D257" s="94"/>
      <c r="H257" s="96"/>
      <c r="I257" s="96"/>
      <c r="J257" s="96"/>
    </row>
    <row r="258">
      <c r="B258" s="38"/>
      <c r="D258" s="94"/>
      <c r="H258" s="96"/>
      <c r="I258" s="96"/>
      <c r="J258" s="96"/>
    </row>
    <row r="259">
      <c r="B259" s="38"/>
      <c r="D259" s="94"/>
      <c r="H259" s="96"/>
      <c r="I259" s="96"/>
      <c r="J259" s="96"/>
    </row>
    <row r="260">
      <c r="B260" s="38"/>
      <c r="D260" s="94"/>
      <c r="H260" s="96"/>
      <c r="I260" s="96"/>
      <c r="J260" s="96"/>
    </row>
    <row r="261">
      <c r="B261" s="38"/>
      <c r="D261" s="94"/>
      <c r="H261" s="96"/>
      <c r="I261" s="96"/>
      <c r="J261" s="96"/>
    </row>
    <row r="262">
      <c r="B262" s="38"/>
      <c r="D262" s="94"/>
      <c r="H262" s="96"/>
      <c r="I262" s="96"/>
      <c r="J262" s="96"/>
    </row>
    <row r="263">
      <c r="B263" s="38"/>
      <c r="D263" s="94"/>
      <c r="H263" s="96"/>
      <c r="I263" s="96"/>
      <c r="J263" s="96"/>
    </row>
    <row r="264">
      <c r="B264" s="38"/>
      <c r="D264" s="94"/>
      <c r="H264" s="96"/>
      <c r="I264" s="96"/>
      <c r="J264" s="96"/>
    </row>
    <row r="265">
      <c r="B265" s="38"/>
      <c r="D265" s="94"/>
      <c r="H265" s="96"/>
      <c r="I265" s="96"/>
      <c r="J265" s="96"/>
    </row>
    <row r="266">
      <c r="B266" s="38"/>
      <c r="D266" s="94"/>
      <c r="H266" s="96"/>
      <c r="I266" s="96"/>
      <c r="J266" s="96"/>
    </row>
    <row r="267">
      <c r="B267" s="38"/>
      <c r="D267" s="94"/>
      <c r="H267" s="96"/>
      <c r="I267" s="96"/>
      <c r="J267" s="96"/>
    </row>
    <row r="268">
      <c r="B268" s="38"/>
      <c r="D268" s="94"/>
      <c r="H268" s="96"/>
      <c r="I268" s="96"/>
      <c r="J268" s="96"/>
    </row>
    <row r="269">
      <c r="B269" s="38"/>
      <c r="D269" s="94"/>
      <c r="H269" s="96"/>
      <c r="I269" s="96"/>
      <c r="J269" s="96"/>
    </row>
    <row r="270">
      <c r="B270" s="38"/>
      <c r="D270" s="94"/>
      <c r="H270" s="96"/>
      <c r="I270" s="96"/>
      <c r="J270" s="96"/>
    </row>
    <row r="271">
      <c r="B271" s="38"/>
      <c r="D271" s="94"/>
      <c r="H271" s="96"/>
      <c r="I271" s="96"/>
      <c r="J271" s="96"/>
    </row>
    <row r="272">
      <c r="B272" s="38"/>
      <c r="D272" s="94"/>
      <c r="H272" s="96"/>
      <c r="I272" s="96"/>
      <c r="J272" s="96"/>
    </row>
    <row r="273">
      <c r="B273" s="38"/>
      <c r="D273" s="94"/>
      <c r="H273" s="96"/>
      <c r="I273" s="96"/>
      <c r="J273" s="96"/>
    </row>
    <row r="274">
      <c r="B274" s="38"/>
      <c r="D274" s="94"/>
      <c r="H274" s="96"/>
      <c r="I274" s="96"/>
      <c r="J274" s="96"/>
    </row>
    <row r="275">
      <c r="B275" s="38"/>
      <c r="D275" s="94"/>
      <c r="H275" s="96"/>
      <c r="I275" s="96"/>
      <c r="J275" s="96"/>
    </row>
    <row r="276">
      <c r="B276" s="38"/>
      <c r="D276" s="94"/>
      <c r="H276" s="96"/>
      <c r="I276" s="96"/>
      <c r="J276" s="96"/>
    </row>
    <row r="277">
      <c r="B277" s="38"/>
      <c r="D277" s="94"/>
      <c r="H277" s="96"/>
      <c r="I277" s="96"/>
      <c r="J277" s="96"/>
    </row>
    <row r="278">
      <c r="B278" s="38"/>
      <c r="D278" s="94"/>
      <c r="H278" s="96"/>
      <c r="I278" s="96"/>
      <c r="J278" s="96"/>
    </row>
    <row r="279">
      <c r="B279" s="38"/>
      <c r="D279" s="94"/>
      <c r="H279" s="96"/>
      <c r="I279" s="96"/>
      <c r="J279" s="96"/>
    </row>
    <row r="280">
      <c r="B280" s="38"/>
      <c r="D280" s="94"/>
      <c r="H280" s="96"/>
      <c r="I280" s="96"/>
      <c r="J280" s="96"/>
    </row>
    <row r="281">
      <c r="B281" s="38"/>
      <c r="D281" s="94"/>
      <c r="H281" s="96"/>
      <c r="I281" s="96"/>
      <c r="J281" s="96"/>
    </row>
    <row r="282">
      <c r="B282" s="38"/>
      <c r="D282" s="94"/>
      <c r="H282" s="96"/>
      <c r="I282" s="96"/>
      <c r="J282" s="96"/>
    </row>
    <row r="283">
      <c r="B283" s="38"/>
      <c r="D283" s="94"/>
      <c r="H283" s="96"/>
      <c r="I283" s="96"/>
      <c r="J283" s="96"/>
    </row>
    <row r="284">
      <c r="B284" s="38"/>
      <c r="D284" s="94"/>
      <c r="H284" s="96"/>
      <c r="I284" s="96"/>
      <c r="J284" s="96"/>
    </row>
    <row r="285">
      <c r="B285" s="38"/>
      <c r="D285" s="94"/>
      <c r="H285" s="96"/>
      <c r="I285" s="96"/>
      <c r="J285" s="96"/>
    </row>
    <row r="286">
      <c r="B286" s="38"/>
      <c r="D286" s="94"/>
      <c r="H286" s="96"/>
      <c r="I286" s="96"/>
      <c r="J286" s="96"/>
    </row>
    <row r="287">
      <c r="B287" s="38"/>
      <c r="D287" s="94"/>
      <c r="H287" s="96"/>
      <c r="I287" s="96"/>
      <c r="J287" s="96"/>
    </row>
    <row r="288">
      <c r="B288" s="38"/>
      <c r="D288" s="94"/>
      <c r="H288" s="96"/>
      <c r="I288" s="96"/>
      <c r="J288" s="96"/>
    </row>
    <row r="289">
      <c r="B289" s="38"/>
      <c r="D289" s="94"/>
      <c r="H289" s="96"/>
      <c r="I289" s="96"/>
      <c r="J289" s="96"/>
    </row>
    <row r="290">
      <c r="B290" s="38"/>
      <c r="D290" s="94"/>
      <c r="H290" s="96"/>
      <c r="I290" s="96"/>
      <c r="J290" s="96"/>
    </row>
    <row r="291">
      <c r="B291" s="38"/>
      <c r="D291" s="94"/>
      <c r="H291" s="96"/>
      <c r="I291" s="96"/>
      <c r="J291" s="96"/>
    </row>
    <row r="292">
      <c r="B292" s="38"/>
      <c r="D292" s="94"/>
      <c r="H292" s="96"/>
      <c r="I292" s="96"/>
      <c r="J292" s="96"/>
    </row>
    <row r="293">
      <c r="B293" s="38"/>
      <c r="D293" s="94"/>
      <c r="H293" s="96"/>
      <c r="I293" s="96"/>
      <c r="J293" s="96"/>
    </row>
    <row r="294">
      <c r="B294" s="38"/>
      <c r="D294" s="94"/>
      <c r="H294" s="96"/>
      <c r="I294" s="96"/>
      <c r="J294" s="96"/>
    </row>
    <row r="295">
      <c r="B295" s="38"/>
      <c r="D295" s="94"/>
      <c r="H295" s="96"/>
      <c r="I295" s="96"/>
      <c r="J295" s="96"/>
    </row>
    <row r="296">
      <c r="B296" s="38"/>
      <c r="D296" s="94"/>
      <c r="H296" s="96"/>
      <c r="I296" s="96"/>
      <c r="J296" s="96"/>
    </row>
    <row r="297">
      <c r="B297" s="38"/>
      <c r="D297" s="94"/>
      <c r="H297" s="96"/>
      <c r="I297" s="96"/>
      <c r="J297" s="96"/>
    </row>
    <row r="298">
      <c r="B298" s="38"/>
      <c r="D298" s="94"/>
      <c r="H298" s="96"/>
      <c r="I298" s="96"/>
      <c r="J298" s="96"/>
    </row>
    <row r="299">
      <c r="B299" s="38"/>
      <c r="D299" s="94"/>
      <c r="H299" s="96"/>
      <c r="I299" s="96"/>
      <c r="J299" s="96"/>
    </row>
    <row r="300">
      <c r="B300" s="38"/>
      <c r="D300" s="94"/>
      <c r="H300" s="96"/>
      <c r="I300" s="96"/>
      <c r="J300" s="96"/>
    </row>
    <row r="301">
      <c r="B301" s="38"/>
      <c r="D301" s="94"/>
      <c r="H301" s="96"/>
      <c r="I301" s="96"/>
      <c r="J301" s="96"/>
    </row>
    <row r="302">
      <c r="B302" s="38"/>
      <c r="D302" s="94"/>
      <c r="H302" s="96"/>
      <c r="I302" s="96"/>
      <c r="J302" s="96"/>
    </row>
    <row r="303">
      <c r="B303" s="38"/>
      <c r="D303" s="94"/>
      <c r="H303" s="96"/>
      <c r="I303" s="96"/>
      <c r="J303" s="96"/>
    </row>
    <row r="304">
      <c r="B304" s="38"/>
      <c r="D304" s="94"/>
      <c r="H304" s="96"/>
      <c r="I304" s="96"/>
      <c r="J304" s="96"/>
    </row>
    <row r="305">
      <c r="B305" s="38"/>
      <c r="D305" s="94"/>
      <c r="H305" s="96"/>
      <c r="I305" s="96"/>
      <c r="J305" s="96"/>
    </row>
    <row r="306">
      <c r="B306" s="38"/>
      <c r="D306" s="94"/>
      <c r="H306" s="96"/>
      <c r="I306" s="96"/>
      <c r="J306" s="96"/>
    </row>
    <row r="307">
      <c r="B307" s="38"/>
      <c r="D307" s="94"/>
      <c r="H307" s="96"/>
      <c r="I307" s="96"/>
      <c r="J307" s="96"/>
    </row>
    <row r="308">
      <c r="B308" s="38"/>
      <c r="D308" s="94"/>
      <c r="H308" s="96"/>
      <c r="I308" s="96"/>
      <c r="J308" s="96"/>
    </row>
    <row r="309">
      <c r="B309" s="38"/>
      <c r="D309" s="94"/>
      <c r="H309" s="96"/>
      <c r="I309" s="96"/>
      <c r="J309" s="96"/>
    </row>
    <row r="310">
      <c r="B310" s="38"/>
      <c r="D310" s="94"/>
      <c r="H310" s="96"/>
      <c r="I310" s="96"/>
      <c r="J310" s="96"/>
    </row>
    <row r="311">
      <c r="B311" s="38"/>
      <c r="D311" s="94"/>
      <c r="H311" s="96"/>
      <c r="I311" s="96"/>
      <c r="J311" s="96"/>
    </row>
    <row r="312">
      <c r="B312" s="38"/>
      <c r="D312" s="94"/>
      <c r="H312" s="96"/>
      <c r="I312" s="96"/>
      <c r="J312" s="96"/>
    </row>
    <row r="313">
      <c r="B313" s="38"/>
      <c r="D313" s="94"/>
      <c r="H313" s="96"/>
      <c r="I313" s="96"/>
      <c r="J313" s="96"/>
    </row>
    <row r="314">
      <c r="B314" s="38"/>
      <c r="D314" s="94"/>
      <c r="H314" s="96"/>
      <c r="I314" s="96"/>
      <c r="J314" s="96"/>
    </row>
    <row r="315">
      <c r="B315" s="38"/>
      <c r="D315" s="94"/>
      <c r="H315" s="96"/>
      <c r="I315" s="96"/>
      <c r="J315" s="96"/>
    </row>
    <row r="316">
      <c r="B316" s="38"/>
      <c r="D316" s="94"/>
      <c r="H316" s="96"/>
      <c r="I316" s="96"/>
      <c r="J316" s="96"/>
    </row>
    <row r="317">
      <c r="B317" s="38"/>
      <c r="D317" s="94"/>
      <c r="H317" s="96"/>
      <c r="I317" s="96"/>
      <c r="J317" s="96"/>
    </row>
    <row r="318">
      <c r="B318" s="38"/>
      <c r="D318" s="94"/>
      <c r="H318" s="96"/>
      <c r="I318" s="96"/>
      <c r="J318" s="96"/>
    </row>
    <row r="319">
      <c r="B319" s="38"/>
      <c r="D319" s="94"/>
      <c r="H319" s="96"/>
      <c r="I319" s="96"/>
      <c r="J319" s="96"/>
    </row>
    <row r="320">
      <c r="B320" s="38"/>
      <c r="D320" s="94"/>
      <c r="H320" s="96"/>
      <c r="I320" s="96"/>
      <c r="J320" s="96"/>
    </row>
    <row r="321">
      <c r="B321" s="38"/>
      <c r="D321" s="94"/>
      <c r="H321" s="96"/>
      <c r="I321" s="96"/>
      <c r="J321" s="96"/>
    </row>
    <row r="322">
      <c r="B322" s="38"/>
      <c r="D322" s="94"/>
      <c r="H322" s="96"/>
      <c r="I322" s="96"/>
      <c r="J322" s="96"/>
    </row>
    <row r="323">
      <c r="B323" s="38"/>
      <c r="D323" s="94"/>
      <c r="H323" s="96"/>
      <c r="I323" s="96"/>
      <c r="J323" s="96"/>
    </row>
    <row r="324">
      <c r="B324" s="38"/>
      <c r="D324" s="94"/>
      <c r="H324" s="96"/>
      <c r="I324" s="96"/>
      <c r="J324" s="96"/>
    </row>
    <row r="325">
      <c r="B325" s="38"/>
      <c r="D325" s="94"/>
      <c r="H325" s="96"/>
      <c r="I325" s="96"/>
      <c r="J325" s="96"/>
    </row>
    <row r="326">
      <c r="B326" s="38"/>
      <c r="D326" s="94"/>
      <c r="H326" s="96"/>
      <c r="I326" s="96"/>
      <c r="J326" s="96"/>
    </row>
    <row r="327">
      <c r="B327" s="38"/>
      <c r="D327" s="94"/>
      <c r="H327" s="96"/>
      <c r="I327" s="96"/>
      <c r="J327" s="96"/>
    </row>
    <row r="328">
      <c r="B328" s="38"/>
      <c r="D328" s="94"/>
      <c r="H328" s="96"/>
      <c r="I328" s="96"/>
      <c r="J328" s="96"/>
    </row>
    <row r="329">
      <c r="B329" s="38"/>
      <c r="D329" s="94"/>
      <c r="H329" s="96"/>
      <c r="I329" s="96"/>
      <c r="J329" s="96"/>
    </row>
    <row r="330">
      <c r="B330" s="38"/>
      <c r="D330" s="94"/>
      <c r="H330" s="96"/>
      <c r="I330" s="96"/>
      <c r="J330" s="96"/>
    </row>
    <row r="331">
      <c r="B331" s="38"/>
      <c r="D331" s="94"/>
      <c r="H331" s="96"/>
      <c r="I331" s="96"/>
      <c r="J331" s="96"/>
    </row>
    <row r="332">
      <c r="B332" s="38"/>
      <c r="D332" s="94"/>
      <c r="H332" s="96"/>
      <c r="I332" s="96"/>
      <c r="J332" s="96"/>
    </row>
    <row r="333">
      <c r="B333" s="38"/>
      <c r="D333" s="94"/>
      <c r="H333" s="96"/>
      <c r="I333" s="96"/>
      <c r="J333" s="96"/>
    </row>
    <row r="334">
      <c r="B334" s="38"/>
      <c r="D334" s="94"/>
      <c r="H334" s="96"/>
      <c r="I334" s="96"/>
      <c r="J334" s="96"/>
    </row>
    <row r="335">
      <c r="B335" s="38"/>
      <c r="D335" s="94"/>
      <c r="H335" s="96"/>
      <c r="I335" s="96"/>
      <c r="J335" s="96"/>
    </row>
    <row r="336">
      <c r="B336" s="38"/>
      <c r="D336" s="94"/>
      <c r="H336" s="96"/>
      <c r="I336" s="96"/>
      <c r="J336" s="96"/>
    </row>
    <row r="337">
      <c r="B337" s="38"/>
      <c r="D337" s="94"/>
      <c r="H337" s="96"/>
      <c r="I337" s="96"/>
      <c r="J337" s="96"/>
    </row>
    <row r="338">
      <c r="B338" s="38"/>
      <c r="D338" s="94"/>
      <c r="H338" s="96"/>
      <c r="I338" s="96"/>
      <c r="J338" s="96"/>
    </row>
    <row r="339">
      <c r="B339" s="38"/>
      <c r="D339" s="94"/>
      <c r="H339" s="96"/>
      <c r="I339" s="96"/>
      <c r="J339" s="96"/>
    </row>
    <row r="340">
      <c r="B340" s="38"/>
      <c r="D340" s="94"/>
      <c r="H340" s="96"/>
      <c r="I340" s="96"/>
      <c r="J340" s="96"/>
    </row>
    <row r="341">
      <c r="B341" s="38"/>
      <c r="D341" s="94"/>
      <c r="H341" s="96"/>
      <c r="I341" s="96"/>
      <c r="J341" s="96"/>
    </row>
    <row r="342">
      <c r="B342" s="38"/>
      <c r="D342" s="94"/>
      <c r="H342" s="96"/>
      <c r="I342" s="96"/>
      <c r="J342" s="96"/>
    </row>
    <row r="343">
      <c r="B343" s="38"/>
      <c r="D343" s="94"/>
      <c r="H343" s="96"/>
      <c r="I343" s="96"/>
      <c r="J343" s="96"/>
    </row>
    <row r="344">
      <c r="B344" s="38"/>
      <c r="D344" s="94"/>
      <c r="H344" s="96"/>
      <c r="I344" s="96"/>
      <c r="J344" s="96"/>
    </row>
    <row r="345">
      <c r="B345" s="38"/>
      <c r="D345" s="94"/>
      <c r="H345" s="96"/>
      <c r="I345" s="96"/>
      <c r="J345" s="96"/>
    </row>
    <row r="346">
      <c r="B346" s="38"/>
      <c r="D346" s="94"/>
      <c r="H346" s="96"/>
      <c r="I346" s="96"/>
      <c r="J346" s="96"/>
    </row>
    <row r="347">
      <c r="B347" s="38"/>
      <c r="D347" s="94"/>
      <c r="H347" s="96"/>
      <c r="I347" s="96"/>
      <c r="J347" s="96"/>
    </row>
    <row r="348">
      <c r="B348" s="38"/>
      <c r="D348" s="94"/>
      <c r="H348" s="96"/>
      <c r="I348" s="96"/>
      <c r="J348" s="96"/>
    </row>
    <row r="349">
      <c r="B349" s="38"/>
      <c r="D349" s="94"/>
      <c r="H349" s="96"/>
      <c r="I349" s="96"/>
      <c r="J349" s="96"/>
    </row>
    <row r="350">
      <c r="B350" s="38"/>
      <c r="D350" s="94"/>
      <c r="H350" s="96"/>
      <c r="I350" s="96"/>
      <c r="J350" s="96"/>
    </row>
    <row r="351">
      <c r="B351" s="38"/>
      <c r="D351" s="94"/>
      <c r="H351" s="96"/>
      <c r="I351" s="96"/>
      <c r="J351" s="96"/>
    </row>
    <row r="352">
      <c r="B352" s="38"/>
      <c r="D352" s="94"/>
      <c r="H352" s="96"/>
      <c r="I352" s="96"/>
      <c r="J352" s="96"/>
    </row>
    <row r="353">
      <c r="B353" s="38"/>
      <c r="D353" s="94"/>
      <c r="H353" s="96"/>
      <c r="I353" s="96"/>
      <c r="J353" s="96"/>
    </row>
    <row r="354">
      <c r="B354" s="38"/>
      <c r="D354" s="94"/>
      <c r="H354" s="96"/>
      <c r="I354" s="96"/>
      <c r="J354" s="96"/>
    </row>
    <row r="355">
      <c r="B355" s="38"/>
      <c r="D355" s="94"/>
      <c r="H355" s="96"/>
      <c r="I355" s="96"/>
      <c r="J355" s="96"/>
    </row>
    <row r="356">
      <c r="B356" s="38"/>
      <c r="D356" s="94"/>
      <c r="H356" s="96"/>
      <c r="I356" s="96"/>
      <c r="J356" s="96"/>
    </row>
    <row r="357">
      <c r="B357" s="38"/>
      <c r="D357" s="94"/>
      <c r="H357" s="96"/>
      <c r="I357" s="96"/>
      <c r="J357" s="96"/>
    </row>
    <row r="358">
      <c r="B358" s="38"/>
      <c r="D358" s="94"/>
      <c r="H358" s="96"/>
      <c r="I358" s="96"/>
      <c r="J358" s="96"/>
    </row>
    <row r="359">
      <c r="B359" s="38"/>
      <c r="D359" s="94"/>
      <c r="H359" s="96"/>
      <c r="I359" s="96"/>
      <c r="J359" s="96"/>
    </row>
    <row r="360">
      <c r="B360" s="38"/>
      <c r="D360" s="94"/>
      <c r="H360" s="96"/>
      <c r="I360" s="96"/>
      <c r="J360" s="96"/>
    </row>
    <row r="361">
      <c r="B361" s="38"/>
      <c r="D361" s="94"/>
      <c r="H361" s="96"/>
      <c r="I361" s="96"/>
      <c r="J361" s="96"/>
    </row>
    <row r="362">
      <c r="B362" s="38"/>
      <c r="D362" s="94"/>
      <c r="H362" s="96"/>
      <c r="I362" s="96"/>
      <c r="J362" s="96"/>
    </row>
    <row r="363">
      <c r="B363" s="38"/>
      <c r="D363" s="94"/>
      <c r="H363" s="96"/>
      <c r="I363" s="96"/>
      <c r="J363" s="96"/>
    </row>
    <row r="364">
      <c r="B364" s="38"/>
      <c r="D364" s="94"/>
      <c r="H364" s="96"/>
      <c r="I364" s="96"/>
      <c r="J364" s="96"/>
    </row>
    <row r="365">
      <c r="B365" s="38"/>
      <c r="D365" s="94"/>
      <c r="H365" s="96"/>
      <c r="I365" s="96"/>
      <c r="J365" s="96"/>
    </row>
    <row r="366">
      <c r="B366" s="38"/>
      <c r="D366" s="94"/>
      <c r="H366" s="96"/>
      <c r="I366" s="96"/>
      <c r="J366" s="96"/>
    </row>
    <row r="367">
      <c r="B367" s="38"/>
      <c r="D367" s="94"/>
      <c r="H367" s="96"/>
      <c r="I367" s="96"/>
      <c r="J367" s="96"/>
    </row>
    <row r="368">
      <c r="B368" s="38"/>
      <c r="D368" s="94"/>
      <c r="H368" s="96"/>
      <c r="I368" s="96"/>
      <c r="J368" s="96"/>
    </row>
    <row r="369">
      <c r="B369" s="38"/>
      <c r="D369" s="94"/>
      <c r="H369" s="96"/>
      <c r="I369" s="96"/>
      <c r="J369" s="96"/>
    </row>
    <row r="370">
      <c r="B370" s="38"/>
      <c r="D370" s="94"/>
      <c r="H370" s="96"/>
      <c r="I370" s="96"/>
      <c r="J370" s="96"/>
    </row>
    <row r="371">
      <c r="B371" s="38"/>
      <c r="D371" s="94"/>
      <c r="H371" s="96"/>
      <c r="I371" s="96"/>
      <c r="J371" s="96"/>
    </row>
    <row r="372">
      <c r="B372" s="38"/>
      <c r="D372" s="94"/>
      <c r="H372" s="96"/>
      <c r="I372" s="96"/>
      <c r="J372" s="96"/>
    </row>
    <row r="373">
      <c r="B373" s="38"/>
      <c r="D373" s="94"/>
      <c r="H373" s="96"/>
      <c r="I373" s="96"/>
      <c r="J373" s="96"/>
    </row>
    <row r="374">
      <c r="B374" s="38"/>
      <c r="D374" s="94"/>
      <c r="H374" s="96"/>
      <c r="I374" s="96"/>
      <c r="J374" s="96"/>
    </row>
    <row r="375">
      <c r="B375" s="38"/>
      <c r="D375" s="94"/>
      <c r="H375" s="96"/>
      <c r="I375" s="96"/>
      <c r="J375" s="96"/>
    </row>
    <row r="376">
      <c r="B376" s="38"/>
      <c r="D376" s="94"/>
      <c r="H376" s="96"/>
      <c r="I376" s="96"/>
      <c r="J376" s="96"/>
    </row>
    <row r="377">
      <c r="B377" s="38"/>
      <c r="D377" s="94"/>
      <c r="H377" s="96"/>
      <c r="I377" s="96"/>
      <c r="J377" s="96"/>
    </row>
    <row r="378">
      <c r="B378" s="38"/>
      <c r="D378" s="94"/>
      <c r="H378" s="96"/>
      <c r="I378" s="96"/>
      <c r="J378" s="96"/>
    </row>
    <row r="379">
      <c r="B379" s="38"/>
      <c r="D379" s="94"/>
      <c r="H379" s="96"/>
      <c r="I379" s="96"/>
      <c r="J379" s="96"/>
    </row>
    <row r="380">
      <c r="B380" s="38"/>
      <c r="D380" s="94"/>
      <c r="H380" s="96"/>
      <c r="I380" s="96"/>
      <c r="J380" s="96"/>
    </row>
    <row r="381">
      <c r="B381" s="38"/>
      <c r="D381" s="94"/>
      <c r="H381" s="96"/>
      <c r="I381" s="96"/>
      <c r="J381" s="96"/>
    </row>
    <row r="382">
      <c r="B382" s="38"/>
      <c r="D382" s="94"/>
      <c r="H382" s="96"/>
      <c r="I382" s="96"/>
      <c r="J382" s="96"/>
    </row>
    <row r="383">
      <c r="B383" s="38"/>
      <c r="D383" s="94"/>
      <c r="H383" s="96"/>
      <c r="I383" s="96"/>
      <c r="J383" s="96"/>
    </row>
    <row r="384">
      <c r="B384" s="38"/>
      <c r="D384" s="94"/>
      <c r="H384" s="96"/>
      <c r="I384" s="96"/>
      <c r="J384" s="96"/>
    </row>
    <row r="385">
      <c r="B385" s="38"/>
      <c r="D385" s="94"/>
      <c r="H385" s="96"/>
      <c r="I385" s="96"/>
      <c r="J385" s="96"/>
    </row>
    <row r="386">
      <c r="B386" s="38"/>
      <c r="D386" s="94"/>
      <c r="H386" s="96"/>
      <c r="I386" s="96"/>
      <c r="J386" s="96"/>
    </row>
    <row r="387">
      <c r="B387" s="38"/>
      <c r="D387" s="94"/>
      <c r="H387" s="96"/>
      <c r="I387" s="96"/>
      <c r="J387" s="96"/>
    </row>
    <row r="388">
      <c r="B388" s="38"/>
      <c r="D388" s="94"/>
      <c r="H388" s="96"/>
      <c r="I388" s="96"/>
      <c r="J388" s="96"/>
    </row>
    <row r="389">
      <c r="B389" s="38"/>
      <c r="D389" s="94"/>
      <c r="H389" s="96"/>
      <c r="I389" s="96"/>
      <c r="J389" s="96"/>
    </row>
    <row r="390">
      <c r="B390" s="38"/>
      <c r="D390" s="94"/>
      <c r="H390" s="96"/>
      <c r="I390" s="96"/>
      <c r="J390" s="96"/>
    </row>
    <row r="391">
      <c r="B391" s="38"/>
      <c r="D391" s="94"/>
      <c r="H391" s="96"/>
      <c r="I391" s="96"/>
      <c r="J391" s="96"/>
    </row>
    <row r="392">
      <c r="B392" s="38"/>
      <c r="D392" s="94"/>
      <c r="H392" s="96"/>
      <c r="I392" s="96"/>
      <c r="J392" s="96"/>
    </row>
    <row r="393">
      <c r="B393" s="38"/>
      <c r="D393" s="94"/>
      <c r="H393" s="96"/>
      <c r="I393" s="96"/>
      <c r="J393" s="96"/>
    </row>
    <row r="394">
      <c r="B394" s="38"/>
      <c r="D394" s="94"/>
      <c r="H394" s="96"/>
      <c r="I394" s="96"/>
      <c r="J394" s="96"/>
    </row>
    <row r="395">
      <c r="B395" s="38"/>
      <c r="D395" s="94"/>
      <c r="H395" s="96"/>
      <c r="I395" s="96"/>
      <c r="J395" s="96"/>
    </row>
    <row r="396">
      <c r="B396" s="38"/>
      <c r="D396" s="94"/>
      <c r="H396" s="96"/>
      <c r="I396" s="96"/>
      <c r="J396" s="96"/>
    </row>
    <row r="397">
      <c r="B397" s="38"/>
      <c r="D397" s="94"/>
      <c r="H397" s="96"/>
      <c r="I397" s="96"/>
      <c r="J397" s="96"/>
    </row>
    <row r="398">
      <c r="B398" s="38"/>
      <c r="D398" s="94"/>
      <c r="H398" s="96"/>
      <c r="I398" s="96"/>
      <c r="J398" s="96"/>
    </row>
    <row r="399">
      <c r="B399" s="38"/>
      <c r="D399" s="94"/>
      <c r="H399" s="96"/>
      <c r="I399" s="96"/>
      <c r="J399" s="96"/>
    </row>
    <row r="400">
      <c r="B400" s="38"/>
      <c r="D400" s="94"/>
      <c r="H400" s="96"/>
      <c r="I400" s="96"/>
      <c r="J400" s="96"/>
    </row>
    <row r="401">
      <c r="B401" s="38"/>
      <c r="D401" s="94"/>
      <c r="H401" s="96"/>
      <c r="I401" s="96"/>
      <c r="J401" s="96"/>
    </row>
    <row r="402">
      <c r="B402" s="38"/>
      <c r="D402" s="94"/>
      <c r="H402" s="96"/>
      <c r="I402" s="96"/>
      <c r="J402" s="96"/>
    </row>
    <row r="403">
      <c r="B403" s="38"/>
      <c r="D403" s="94"/>
      <c r="H403" s="96"/>
      <c r="I403" s="96"/>
      <c r="J403" s="96"/>
    </row>
    <row r="404">
      <c r="B404" s="38"/>
      <c r="D404" s="94"/>
      <c r="H404" s="96"/>
      <c r="I404" s="96"/>
      <c r="J404" s="96"/>
    </row>
    <row r="405">
      <c r="B405" s="38"/>
      <c r="D405" s="94"/>
      <c r="H405" s="96"/>
      <c r="I405" s="96"/>
      <c r="J405" s="96"/>
    </row>
    <row r="406">
      <c r="B406" s="38"/>
      <c r="D406" s="94"/>
      <c r="H406" s="96"/>
      <c r="I406" s="96"/>
      <c r="J406" s="96"/>
    </row>
    <row r="407">
      <c r="B407" s="38"/>
      <c r="D407" s="94"/>
      <c r="H407" s="96"/>
      <c r="I407" s="96"/>
      <c r="J407" s="96"/>
    </row>
    <row r="408">
      <c r="B408" s="38"/>
      <c r="D408" s="94"/>
      <c r="H408" s="96"/>
      <c r="I408" s="96"/>
      <c r="J408" s="96"/>
    </row>
    <row r="409">
      <c r="B409" s="38"/>
      <c r="D409" s="94"/>
      <c r="H409" s="96"/>
      <c r="I409" s="96"/>
      <c r="J409" s="96"/>
    </row>
    <row r="410">
      <c r="B410" s="38"/>
      <c r="D410" s="94"/>
      <c r="H410" s="96"/>
      <c r="I410" s="96"/>
      <c r="J410" s="96"/>
    </row>
    <row r="411">
      <c r="B411" s="38"/>
      <c r="D411" s="94"/>
      <c r="H411" s="96"/>
      <c r="I411" s="96"/>
      <c r="J411" s="96"/>
    </row>
    <row r="412">
      <c r="B412" s="38"/>
      <c r="D412" s="94"/>
      <c r="H412" s="96"/>
      <c r="I412" s="96"/>
      <c r="J412" s="96"/>
    </row>
    <row r="413">
      <c r="B413" s="38"/>
      <c r="D413" s="94"/>
      <c r="H413" s="96"/>
      <c r="I413" s="96"/>
      <c r="J413" s="96"/>
    </row>
    <row r="414">
      <c r="B414" s="38"/>
      <c r="D414" s="94"/>
      <c r="H414" s="96"/>
      <c r="I414" s="96"/>
      <c r="J414" s="96"/>
    </row>
    <row r="415">
      <c r="B415" s="38"/>
      <c r="D415" s="94"/>
      <c r="H415" s="96"/>
      <c r="I415" s="96"/>
      <c r="J415" s="96"/>
    </row>
    <row r="416">
      <c r="B416" s="38"/>
      <c r="D416" s="94"/>
      <c r="H416" s="96"/>
      <c r="I416" s="96"/>
      <c r="J416" s="96"/>
    </row>
    <row r="417">
      <c r="B417" s="38"/>
      <c r="D417" s="94"/>
      <c r="H417" s="96"/>
      <c r="I417" s="96"/>
      <c r="J417" s="96"/>
    </row>
    <row r="418">
      <c r="B418" s="38"/>
      <c r="D418" s="94"/>
      <c r="H418" s="96"/>
      <c r="I418" s="96"/>
      <c r="J418" s="96"/>
    </row>
    <row r="419">
      <c r="B419" s="38"/>
      <c r="D419" s="94"/>
      <c r="H419" s="96"/>
      <c r="I419" s="96"/>
      <c r="J419" s="96"/>
    </row>
    <row r="420">
      <c r="B420" s="38"/>
      <c r="D420" s="94"/>
      <c r="H420" s="96"/>
      <c r="I420" s="96"/>
      <c r="J420" s="96"/>
    </row>
    <row r="421">
      <c r="B421" s="38"/>
      <c r="D421" s="94"/>
      <c r="H421" s="96"/>
      <c r="I421" s="96"/>
      <c r="J421" s="96"/>
    </row>
    <row r="422">
      <c r="B422" s="38"/>
      <c r="D422" s="94"/>
      <c r="H422" s="96"/>
      <c r="I422" s="96"/>
      <c r="J422" s="96"/>
    </row>
    <row r="423">
      <c r="B423" s="38"/>
      <c r="D423" s="94"/>
      <c r="H423" s="96"/>
      <c r="I423" s="96"/>
      <c r="J423" s="96"/>
    </row>
    <row r="424">
      <c r="B424" s="38"/>
      <c r="D424" s="94"/>
      <c r="H424" s="96"/>
      <c r="I424" s="96"/>
      <c r="J424" s="96"/>
    </row>
    <row r="425">
      <c r="B425" s="38"/>
      <c r="D425" s="94"/>
      <c r="H425" s="96"/>
      <c r="I425" s="96"/>
      <c r="J425" s="96"/>
    </row>
    <row r="426">
      <c r="B426" s="38"/>
      <c r="D426" s="94"/>
      <c r="H426" s="96"/>
      <c r="I426" s="96"/>
      <c r="J426" s="96"/>
    </row>
    <row r="427">
      <c r="B427" s="38"/>
      <c r="D427" s="94"/>
      <c r="H427" s="96"/>
      <c r="I427" s="96"/>
      <c r="J427" s="96"/>
    </row>
    <row r="428">
      <c r="B428" s="38"/>
      <c r="D428" s="94"/>
      <c r="H428" s="96"/>
      <c r="I428" s="96"/>
      <c r="J428" s="96"/>
    </row>
    <row r="429">
      <c r="B429" s="38"/>
      <c r="D429" s="94"/>
      <c r="H429" s="96"/>
      <c r="I429" s="96"/>
      <c r="J429" s="96"/>
    </row>
    <row r="430">
      <c r="B430" s="38"/>
      <c r="D430" s="94"/>
      <c r="H430" s="96"/>
      <c r="I430" s="96"/>
      <c r="J430" s="96"/>
    </row>
    <row r="431">
      <c r="B431" s="38"/>
      <c r="D431" s="94"/>
      <c r="H431" s="96"/>
      <c r="I431" s="96"/>
      <c r="J431" s="96"/>
    </row>
    <row r="432">
      <c r="B432" s="38"/>
      <c r="D432" s="94"/>
      <c r="H432" s="96"/>
      <c r="I432" s="96"/>
      <c r="J432" s="96"/>
    </row>
    <row r="433">
      <c r="B433" s="38"/>
      <c r="D433" s="94"/>
      <c r="H433" s="96"/>
      <c r="I433" s="96"/>
      <c r="J433" s="96"/>
    </row>
    <row r="434">
      <c r="B434" s="38"/>
      <c r="D434" s="94"/>
      <c r="H434" s="96"/>
      <c r="I434" s="96"/>
      <c r="J434" s="96"/>
    </row>
    <row r="435">
      <c r="B435" s="38"/>
      <c r="D435" s="94"/>
      <c r="H435" s="96"/>
      <c r="I435" s="96"/>
      <c r="J435" s="96"/>
    </row>
    <row r="436">
      <c r="B436" s="38"/>
      <c r="D436" s="94"/>
      <c r="H436" s="96"/>
      <c r="I436" s="96"/>
      <c r="J436" s="96"/>
    </row>
    <row r="437">
      <c r="B437" s="38"/>
      <c r="D437" s="94"/>
      <c r="H437" s="96"/>
      <c r="I437" s="96"/>
      <c r="J437" s="96"/>
    </row>
    <row r="438">
      <c r="B438" s="38"/>
      <c r="D438" s="94"/>
      <c r="H438" s="96"/>
      <c r="I438" s="96"/>
      <c r="J438" s="96"/>
    </row>
    <row r="439">
      <c r="B439" s="38"/>
      <c r="D439" s="94"/>
      <c r="H439" s="96"/>
      <c r="I439" s="96"/>
      <c r="J439" s="96"/>
    </row>
    <row r="440">
      <c r="B440" s="38"/>
      <c r="D440" s="94"/>
      <c r="H440" s="96"/>
      <c r="I440" s="96"/>
      <c r="J440" s="96"/>
    </row>
    <row r="441">
      <c r="B441" s="38"/>
      <c r="D441" s="94"/>
      <c r="H441" s="96"/>
      <c r="I441" s="96"/>
      <c r="J441" s="96"/>
    </row>
    <row r="442">
      <c r="B442" s="38"/>
      <c r="D442" s="94"/>
      <c r="H442" s="96"/>
      <c r="I442" s="96"/>
      <c r="J442" s="96"/>
    </row>
    <row r="443">
      <c r="B443" s="38"/>
      <c r="D443" s="94"/>
      <c r="H443" s="96"/>
      <c r="I443" s="96"/>
      <c r="J443" s="96"/>
    </row>
    <row r="444">
      <c r="B444" s="38"/>
      <c r="D444" s="94"/>
      <c r="H444" s="96"/>
      <c r="I444" s="96"/>
      <c r="J444" s="96"/>
    </row>
    <row r="445">
      <c r="B445" s="38"/>
      <c r="D445" s="94"/>
      <c r="H445" s="96"/>
      <c r="I445" s="96"/>
      <c r="J445" s="96"/>
    </row>
    <row r="446">
      <c r="B446" s="38"/>
      <c r="D446" s="94"/>
      <c r="H446" s="96"/>
      <c r="I446" s="96"/>
      <c r="J446" s="96"/>
    </row>
    <row r="447">
      <c r="B447" s="38"/>
      <c r="D447" s="94"/>
      <c r="H447" s="96"/>
      <c r="I447" s="96"/>
      <c r="J447" s="96"/>
    </row>
    <row r="448">
      <c r="B448" s="38"/>
      <c r="D448" s="94"/>
      <c r="H448" s="96"/>
      <c r="I448" s="96"/>
      <c r="J448" s="96"/>
    </row>
    <row r="449">
      <c r="B449" s="38"/>
      <c r="D449" s="94"/>
      <c r="H449" s="96"/>
      <c r="I449" s="96"/>
      <c r="J449" s="96"/>
    </row>
    <row r="450">
      <c r="B450" s="38"/>
      <c r="D450" s="94"/>
      <c r="H450" s="96"/>
      <c r="I450" s="96"/>
      <c r="J450" s="96"/>
    </row>
    <row r="451">
      <c r="B451" s="38"/>
      <c r="D451" s="94"/>
      <c r="H451" s="96"/>
      <c r="I451" s="96"/>
      <c r="J451" s="96"/>
    </row>
    <row r="452">
      <c r="B452" s="38"/>
      <c r="D452" s="94"/>
      <c r="H452" s="96"/>
      <c r="I452" s="96"/>
      <c r="J452" s="96"/>
    </row>
    <row r="453">
      <c r="B453" s="38"/>
      <c r="D453" s="94"/>
      <c r="H453" s="96"/>
      <c r="I453" s="96"/>
      <c r="J453" s="96"/>
    </row>
    <row r="454">
      <c r="B454" s="38"/>
      <c r="D454" s="94"/>
      <c r="H454" s="96"/>
      <c r="I454" s="96"/>
      <c r="J454" s="96"/>
    </row>
    <row r="455">
      <c r="B455" s="38"/>
      <c r="D455" s="94"/>
      <c r="H455" s="96"/>
      <c r="I455" s="96"/>
      <c r="J455" s="96"/>
    </row>
    <row r="456">
      <c r="B456" s="38"/>
      <c r="D456" s="94"/>
      <c r="H456" s="96"/>
      <c r="I456" s="96"/>
      <c r="J456" s="96"/>
    </row>
    <row r="457">
      <c r="B457" s="38"/>
      <c r="D457" s="94"/>
      <c r="H457" s="96"/>
      <c r="I457" s="96"/>
      <c r="J457" s="96"/>
    </row>
    <row r="458">
      <c r="B458" s="38"/>
      <c r="D458" s="94"/>
      <c r="H458" s="96"/>
      <c r="I458" s="96"/>
      <c r="J458" s="96"/>
    </row>
    <row r="459">
      <c r="B459" s="38"/>
      <c r="D459" s="94"/>
      <c r="H459" s="96"/>
      <c r="I459" s="96"/>
      <c r="J459" s="96"/>
    </row>
    <row r="460">
      <c r="B460" s="38"/>
      <c r="D460" s="94"/>
      <c r="H460" s="96"/>
      <c r="I460" s="96"/>
      <c r="J460" s="96"/>
    </row>
    <row r="461">
      <c r="B461" s="38"/>
      <c r="D461" s="94"/>
      <c r="H461" s="96"/>
      <c r="I461" s="96"/>
      <c r="J461" s="96"/>
    </row>
    <row r="462">
      <c r="B462" s="38"/>
      <c r="D462" s="94"/>
      <c r="H462" s="96"/>
      <c r="I462" s="96"/>
      <c r="J462" s="96"/>
    </row>
    <row r="463">
      <c r="B463" s="38"/>
      <c r="D463" s="94"/>
      <c r="H463" s="96"/>
      <c r="I463" s="96"/>
      <c r="J463" s="96"/>
    </row>
    <row r="464">
      <c r="B464" s="38"/>
      <c r="D464" s="94"/>
      <c r="H464" s="96"/>
      <c r="I464" s="96"/>
      <c r="J464" s="96"/>
    </row>
    <row r="465">
      <c r="B465" s="38"/>
      <c r="D465" s="94"/>
      <c r="H465" s="96"/>
      <c r="I465" s="96"/>
      <c r="J465" s="96"/>
    </row>
    <row r="466">
      <c r="B466" s="38"/>
      <c r="D466" s="94"/>
      <c r="H466" s="96"/>
      <c r="I466" s="96"/>
      <c r="J466" s="96"/>
    </row>
    <row r="467">
      <c r="B467" s="38"/>
      <c r="D467" s="94"/>
      <c r="H467" s="96"/>
      <c r="I467" s="96"/>
      <c r="J467" s="96"/>
    </row>
    <row r="468">
      <c r="B468" s="38"/>
      <c r="D468" s="94"/>
      <c r="H468" s="96"/>
      <c r="I468" s="96"/>
      <c r="J468" s="96"/>
    </row>
    <row r="469">
      <c r="B469" s="38"/>
      <c r="D469" s="94"/>
      <c r="H469" s="96"/>
      <c r="I469" s="96"/>
      <c r="J469" s="96"/>
    </row>
    <row r="470">
      <c r="B470" s="38"/>
      <c r="D470" s="94"/>
      <c r="H470" s="96"/>
      <c r="I470" s="96"/>
      <c r="J470" s="96"/>
    </row>
    <row r="471">
      <c r="B471" s="38"/>
      <c r="D471" s="94"/>
      <c r="H471" s="96"/>
      <c r="I471" s="96"/>
      <c r="J471" s="96"/>
    </row>
    <row r="472">
      <c r="B472" s="38"/>
      <c r="D472" s="94"/>
      <c r="H472" s="96"/>
      <c r="I472" s="96"/>
      <c r="J472" s="96"/>
    </row>
    <row r="473">
      <c r="B473" s="38"/>
      <c r="D473" s="94"/>
      <c r="H473" s="96"/>
      <c r="I473" s="96"/>
      <c r="J473" s="96"/>
    </row>
    <row r="474">
      <c r="B474" s="38"/>
      <c r="D474" s="94"/>
      <c r="H474" s="96"/>
      <c r="I474" s="96"/>
      <c r="J474" s="96"/>
    </row>
    <row r="475">
      <c r="B475" s="38"/>
      <c r="D475" s="94"/>
      <c r="H475" s="96"/>
      <c r="I475" s="96"/>
      <c r="J475" s="96"/>
    </row>
    <row r="476">
      <c r="B476" s="38"/>
      <c r="D476" s="94"/>
      <c r="H476" s="96"/>
      <c r="I476" s="96"/>
      <c r="J476" s="96"/>
    </row>
    <row r="477">
      <c r="B477" s="38"/>
      <c r="D477" s="94"/>
      <c r="H477" s="96"/>
      <c r="I477" s="96"/>
      <c r="J477" s="96"/>
    </row>
    <row r="478">
      <c r="B478" s="38"/>
      <c r="D478" s="94"/>
      <c r="H478" s="96"/>
      <c r="I478" s="96"/>
      <c r="J478" s="96"/>
    </row>
    <row r="479">
      <c r="B479" s="38"/>
      <c r="D479" s="94"/>
      <c r="H479" s="96"/>
      <c r="I479" s="96"/>
      <c r="J479" s="96"/>
    </row>
    <row r="480">
      <c r="B480" s="38"/>
      <c r="D480" s="94"/>
      <c r="H480" s="96"/>
      <c r="I480" s="96"/>
      <c r="J480" s="96"/>
    </row>
    <row r="481">
      <c r="B481" s="38"/>
      <c r="D481" s="94"/>
      <c r="H481" s="96"/>
      <c r="I481" s="96"/>
      <c r="J481" s="96"/>
    </row>
    <row r="482">
      <c r="B482" s="38"/>
      <c r="D482" s="94"/>
      <c r="H482" s="96"/>
      <c r="I482" s="96"/>
      <c r="J482" s="96"/>
    </row>
    <row r="483">
      <c r="B483" s="38"/>
      <c r="D483" s="94"/>
      <c r="H483" s="96"/>
      <c r="I483" s="96"/>
      <c r="J483" s="96"/>
    </row>
    <row r="484">
      <c r="B484" s="38"/>
      <c r="D484" s="94"/>
      <c r="H484" s="96"/>
      <c r="I484" s="96"/>
      <c r="J484" s="96"/>
    </row>
    <row r="485">
      <c r="B485" s="38"/>
      <c r="D485" s="94"/>
      <c r="H485" s="96"/>
      <c r="I485" s="96"/>
      <c r="J485" s="96"/>
    </row>
    <row r="486">
      <c r="B486" s="38"/>
      <c r="D486" s="94"/>
      <c r="H486" s="96"/>
      <c r="I486" s="96"/>
      <c r="J486" s="96"/>
    </row>
    <row r="487">
      <c r="B487" s="38"/>
      <c r="D487" s="94"/>
      <c r="H487" s="96"/>
      <c r="I487" s="96"/>
      <c r="J487" s="96"/>
    </row>
    <row r="488">
      <c r="B488" s="38"/>
      <c r="D488" s="94"/>
      <c r="H488" s="96"/>
      <c r="I488" s="96"/>
      <c r="J488" s="96"/>
    </row>
    <row r="489">
      <c r="B489" s="38"/>
      <c r="D489" s="94"/>
      <c r="H489" s="96"/>
      <c r="I489" s="96"/>
      <c r="J489" s="96"/>
    </row>
    <row r="490">
      <c r="B490" s="38"/>
      <c r="D490" s="94"/>
      <c r="H490" s="96"/>
      <c r="I490" s="96"/>
      <c r="J490" s="96"/>
    </row>
    <row r="491">
      <c r="B491" s="38"/>
      <c r="D491" s="94"/>
      <c r="H491" s="96"/>
      <c r="I491" s="96"/>
      <c r="J491" s="96"/>
    </row>
    <row r="492">
      <c r="B492" s="38"/>
      <c r="D492" s="94"/>
      <c r="H492" s="96"/>
      <c r="I492" s="96"/>
      <c r="J492" s="96"/>
    </row>
    <row r="493">
      <c r="B493" s="38"/>
      <c r="D493" s="94"/>
      <c r="H493" s="96"/>
      <c r="I493" s="96"/>
      <c r="J493" s="96"/>
    </row>
    <row r="494">
      <c r="B494" s="38"/>
      <c r="D494" s="94"/>
      <c r="H494" s="96"/>
      <c r="I494" s="96"/>
      <c r="J494" s="96"/>
    </row>
    <row r="495">
      <c r="B495" s="38"/>
      <c r="D495" s="94"/>
      <c r="H495" s="96"/>
      <c r="I495" s="96"/>
      <c r="J495" s="96"/>
    </row>
    <row r="496">
      <c r="B496" s="38"/>
      <c r="D496" s="94"/>
      <c r="H496" s="96"/>
      <c r="I496" s="96"/>
      <c r="J496" s="96"/>
    </row>
    <row r="497">
      <c r="B497" s="38"/>
      <c r="D497" s="94"/>
      <c r="H497" s="96"/>
      <c r="I497" s="96"/>
      <c r="J497" s="96"/>
    </row>
    <row r="498">
      <c r="B498" s="38"/>
      <c r="D498" s="94"/>
      <c r="H498" s="96"/>
      <c r="I498" s="96"/>
      <c r="J498" s="96"/>
    </row>
    <row r="499">
      <c r="B499" s="38"/>
      <c r="D499" s="94"/>
      <c r="H499" s="96"/>
      <c r="I499" s="96"/>
      <c r="J499" s="96"/>
    </row>
    <row r="500">
      <c r="B500" s="38"/>
      <c r="D500" s="94"/>
      <c r="H500" s="96"/>
      <c r="I500" s="96"/>
      <c r="J500" s="96"/>
    </row>
    <row r="501">
      <c r="B501" s="38"/>
      <c r="D501" s="94"/>
      <c r="H501" s="96"/>
      <c r="I501" s="96"/>
      <c r="J501" s="96"/>
    </row>
    <row r="502">
      <c r="B502" s="38"/>
      <c r="D502" s="94"/>
      <c r="H502" s="96"/>
      <c r="I502" s="96"/>
      <c r="J502" s="96"/>
    </row>
    <row r="503">
      <c r="B503" s="38"/>
      <c r="D503" s="94"/>
      <c r="H503" s="96"/>
      <c r="I503" s="96"/>
      <c r="J503" s="96"/>
    </row>
    <row r="504">
      <c r="B504" s="38"/>
      <c r="D504" s="94"/>
      <c r="H504" s="96"/>
      <c r="I504" s="96"/>
      <c r="J504" s="96"/>
    </row>
    <row r="505">
      <c r="B505" s="38"/>
      <c r="D505" s="94"/>
      <c r="H505" s="96"/>
      <c r="I505" s="96"/>
      <c r="J505" s="96"/>
    </row>
    <row r="506">
      <c r="B506" s="38"/>
      <c r="D506" s="94"/>
      <c r="H506" s="96"/>
      <c r="I506" s="96"/>
      <c r="J506" s="96"/>
    </row>
    <row r="507">
      <c r="B507" s="38"/>
      <c r="D507" s="94"/>
      <c r="H507" s="96"/>
      <c r="I507" s="96"/>
      <c r="J507" s="96"/>
    </row>
    <row r="508">
      <c r="B508" s="38"/>
      <c r="D508" s="94"/>
      <c r="H508" s="96"/>
      <c r="I508" s="96"/>
      <c r="J508" s="96"/>
    </row>
    <row r="509">
      <c r="B509" s="38"/>
      <c r="D509" s="94"/>
      <c r="H509" s="96"/>
      <c r="I509" s="96"/>
      <c r="J509" s="96"/>
    </row>
    <row r="510">
      <c r="B510" s="38"/>
      <c r="D510" s="94"/>
      <c r="H510" s="96"/>
      <c r="I510" s="96"/>
      <c r="J510" s="96"/>
    </row>
    <row r="511">
      <c r="B511" s="38"/>
      <c r="D511" s="94"/>
      <c r="H511" s="96"/>
      <c r="I511" s="96"/>
      <c r="J511" s="96"/>
    </row>
    <row r="512">
      <c r="B512" s="38"/>
      <c r="D512" s="94"/>
      <c r="H512" s="96"/>
      <c r="I512" s="96"/>
      <c r="J512" s="96"/>
    </row>
    <row r="513">
      <c r="B513" s="38"/>
      <c r="D513" s="94"/>
      <c r="H513" s="96"/>
      <c r="I513" s="96"/>
      <c r="J513" s="96"/>
    </row>
    <row r="514">
      <c r="B514" s="38"/>
      <c r="D514" s="94"/>
      <c r="H514" s="96"/>
      <c r="I514" s="96"/>
      <c r="J514" s="96"/>
    </row>
    <row r="515">
      <c r="B515" s="38"/>
      <c r="D515" s="94"/>
      <c r="H515" s="96"/>
      <c r="I515" s="96"/>
      <c r="J515" s="96"/>
    </row>
    <row r="516">
      <c r="B516" s="38"/>
      <c r="D516" s="94"/>
      <c r="H516" s="96"/>
      <c r="I516" s="96"/>
      <c r="J516" s="96"/>
    </row>
    <row r="517">
      <c r="B517" s="38"/>
      <c r="D517" s="94"/>
      <c r="H517" s="96"/>
      <c r="I517" s="96"/>
      <c r="J517" s="96"/>
    </row>
    <row r="518">
      <c r="B518" s="38"/>
      <c r="D518" s="94"/>
      <c r="H518" s="96"/>
      <c r="I518" s="96"/>
      <c r="J518" s="96"/>
    </row>
    <row r="519">
      <c r="B519" s="38"/>
      <c r="D519" s="94"/>
      <c r="H519" s="96"/>
      <c r="I519" s="96"/>
      <c r="J519" s="96"/>
    </row>
    <row r="520">
      <c r="B520" s="38"/>
      <c r="D520" s="94"/>
      <c r="H520" s="96"/>
      <c r="I520" s="96"/>
      <c r="J520" s="96"/>
    </row>
    <row r="521">
      <c r="B521" s="38"/>
      <c r="D521" s="94"/>
      <c r="H521" s="96"/>
      <c r="I521" s="96"/>
      <c r="J521" s="96"/>
    </row>
    <row r="522">
      <c r="B522" s="38"/>
      <c r="D522" s="94"/>
      <c r="H522" s="96"/>
      <c r="I522" s="96"/>
      <c r="J522" s="96"/>
    </row>
    <row r="523">
      <c r="B523" s="38"/>
      <c r="D523" s="94"/>
      <c r="H523" s="96"/>
      <c r="I523" s="96"/>
      <c r="J523" s="96"/>
    </row>
    <row r="524">
      <c r="B524" s="38"/>
      <c r="D524" s="94"/>
      <c r="H524" s="96"/>
      <c r="I524" s="96"/>
      <c r="J524" s="96"/>
    </row>
    <row r="525">
      <c r="B525" s="38"/>
      <c r="D525" s="94"/>
      <c r="H525" s="96"/>
      <c r="I525" s="96"/>
      <c r="J525" s="96"/>
    </row>
    <row r="526">
      <c r="B526" s="38"/>
      <c r="D526" s="94"/>
      <c r="H526" s="96"/>
      <c r="I526" s="96"/>
      <c r="J526" s="96"/>
    </row>
    <row r="527">
      <c r="B527" s="38"/>
      <c r="D527" s="94"/>
      <c r="H527" s="96"/>
      <c r="I527" s="96"/>
      <c r="J527" s="96"/>
    </row>
    <row r="528">
      <c r="B528" s="38"/>
      <c r="D528" s="94"/>
      <c r="H528" s="96"/>
      <c r="I528" s="96"/>
      <c r="J528" s="96"/>
    </row>
    <row r="529">
      <c r="B529" s="38"/>
      <c r="D529" s="94"/>
      <c r="H529" s="96"/>
      <c r="I529" s="96"/>
      <c r="J529" s="96"/>
    </row>
    <row r="530">
      <c r="B530" s="38"/>
      <c r="D530" s="94"/>
      <c r="H530" s="96"/>
      <c r="I530" s="96"/>
      <c r="J530" s="96"/>
    </row>
    <row r="531">
      <c r="B531" s="38"/>
      <c r="D531" s="94"/>
      <c r="H531" s="96"/>
      <c r="I531" s="96"/>
      <c r="J531" s="96"/>
    </row>
    <row r="532">
      <c r="B532" s="38"/>
      <c r="D532" s="94"/>
      <c r="H532" s="96"/>
      <c r="I532" s="96"/>
      <c r="J532" s="96"/>
    </row>
    <row r="533">
      <c r="B533" s="38"/>
      <c r="D533" s="94"/>
      <c r="H533" s="96"/>
      <c r="I533" s="96"/>
      <c r="J533" s="96"/>
    </row>
    <row r="534">
      <c r="B534" s="38"/>
      <c r="D534" s="94"/>
      <c r="H534" s="96"/>
      <c r="I534" s="96"/>
      <c r="J534" s="96"/>
    </row>
    <row r="535">
      <c r="B535" s="38"/>
      <c r="D535" s="94"/>
      <c r="H535" s="96"/>
      <c r="I535" s="96"/>
      <c r="J535" s="96"/>
    </row>
    <row r="536">
      <c r="B536" s="38"/>
      <c r="D536" s="94"/>
      <c r="H536" s="96"/>
      <c r="I536" s="96"/>
      <c r="J536" s="96"/>
    </row>
    <row r="537">
      <c r="B537" s="38"/>
      <c r="D537" s="94"/>
      <c r="H537" s="96"/>
      <c r="I537" s="96"/>
      <c r="J537" s="96"/>
    </row>
    <row r="538">
      <c r="B538" s="38"/>
      <c r="D538" s="94"/>
      <c r="H538" s="96"/>
      <c r="I538" s="96"/>
      <c r="J538" s="96"/>
    </row>
    <row r="539">
      <c r="B539" s="38"/>
      <c r="D539" s="94"/>
      <c r="H539" s="96"/>
      <c r="I539" s="96"/>
      <c r="J539" s="96"/>
    </row>
    <row r="540">
      <c r="B540" s="38"/>
      <c r="D540" s="94"/>
      <c r="H540" s="96"/>
      <c r="I540" s="96"/>
      <c r="J540" s="96"/>
    </row>
    <row r="541">
      <c r="B541" s="38"/>
      <c r="D541" s="94"/>
      <c r="H541" s="96"/>
      <c r="I541" s="96"/>
      <c r="J541" s="96"/>
    </row>
    <row r="542">
      <c r="B542" s="38"/>
      <c r="D542" s="94"/>
      <c r="H542" s="96"/>
      <c r="I542" s="96"/>
      <c r="J542" s="96"/>
    </row>
    <row r="543">
      <c r="B543" s="38"/>
      <c r="D543" s="94"/>
      <c r="H543" s="96"/>
      <c r="I543" s="96"/>
      <c r="J543" s="96"/>
    </row>
    <row r="544">
      <c r="B544" s="38"/>
      <c r="D544" s="94"/>
      <c r="H544" s="96"/>
      <c r="I544" s="96"/>
      <c r="J544" s="96"/>
    </row>
    <row r="545">
      <c r="B545" s="38"/>
      <c r="D545" s="94"/>
      <c r="H545" s="96"/>
      <c r="I545" s="96"/>
      <c r="J545" s="96"/>
    </row>
    <row r="546">
      <c r="B546" s="38"/>
      <c r="D546" s="94"/>
      <c r="H546" s="96"/>
      <c r="I546" s="96"/>
      <c r="J546" s="96"/>
    </row>
    <row r="547">
      <c r="B547" s="38"/>
      <c r="D547" s="94"/>
      <c r="H547" s="96"/>
      <c r="I547" s="96"/>
      <c r="J547" s="96"/>
    </row>
    <row r="548">
      <c r="B548" s="38"/>
      <c r="D548" s="94"/>
      <c r="H548" s="96"/>
      <c r="I548" s="96"/>
      <c r="J548" s="96"/>
    </row>
    <row r="549">
      <c r="B549" s="38"/>
      <c r="D549" s="94"/>
      <c r="H549" s="96"/>
      <c r="I549" s="96"/>
      <c r="J549" s="96"/>
    </row>
    <row r="550">
      <c r="B550" s="38"/>
      <c r="D550" s="94"/>
      <c r="H550" s="96"/>
      <c r="I550" s="96"/>
      <c r="J550" s="96"/>
    </row>
    <row r="551">
      <c r="B551" s="38"/>
      <c r="D551" s="94"/>
      <c r="H551" s="96"/>
      <c r="I551" s="96"/>
      <c r="J551" s="96"/>
    </row>
    <row r="552">
      <c r="B552" s="38"/>
      <c r="D552" s="94"/>
      <c r="H552" s="96"/>
      <c r="I552" s="96"/>
      <c r="J552" s="96"/>
    </row>
    <row r="553">
      <c r="B553" s="38"/>
      <c r="D553" s="94"/>
      <c r="H553" s="96"/>
      <c r="I553" s="96"/>
      <c r="J553" s="96"/>
    </row>
    <row r="554">
      <c r="B554" s="38"/>
      <c r="D554" s="94"/>
      <c r="H554" s="96"/>
      <c r="I554" s="96"/>
      <c r="J554" s="96"/>
    </row>
    <row r="555">
      <c r="B555" s="38"/>
      <c r="D555" s="94"/>
      <c r="H555" s="96"/>
      <c r="I555" s="96"/>
      <c r="J555" s="96"/>
    </row>
    <row r="556">
      <c r="B556" s="38"/>
      <c r="D556" s="94"/>
      <c r="H556" s="96"/>
      <c r="I556" s="96"/>
      <c r="J556" s="96"/>
    </row>
    <row r="557">
      <c r="B557" s="38"/>
      <c r="D557" s="94"/>
      <c r="H557" s="96"/>
      <c r="I557" s="96"/>
      <c r="J557" s="96"/>
    </row>
    <row r="558">
      <c r="B558" s="38"/>
      <c r="D558" s="94"/>
      <c r="H558" s="96"/>
      <c r="I558" s="96"/>
      <c r="J558" s="96"/>
    </row>
    <row r="559">
      <c r="B559" s="38"/>
      <c r="D559" s="94"/>
      <c r="H559" s="96"/>
      <c r="I559" s="96"/>
      <c r="J559" s="96"/>
    </row>
    <row r="560">
      <c r="B560" s="38"/>
      <c r="D560" s="94"/>
      <c r="H560" s="96"/>
      <c r="I560" s="96"/>
      <c r="J560" s="96"/>
    </row>
    <row r="561">
      <c r="B561" s="38"/>
      <c r="D561" s="94"/>
      <c r="H561" s="96"/>
      <c r="I561" s="96"/>
      <c r="J561" s="96"/>
    </row>
    <row r="562">
      <c r="B562" s="38"/>
      <c r="D562" s="94"/>
      <c r="H562" s="96"/>
      <c r="I562" s="96"/>
      <c r="J562" s="96"/>
    </row>
    <row r="563">
      <c r="B563" s="38"/>
      <c r="D563" s="94"/>
      <c r="H563" s="96"/>
      <c r="I563" s="96"/>
      <c r="J563" s="96"/>
    </row>
    <row r="564">
      <c r="B564" s="38"/>
      <c r="D564" s="94"/>
      <c r="H564" s="96"/>
      <c r="I564" s="96"/>
      <c r="J564" s="96"/>
    </row>
    <row r="565">
      <c r="B565" s="38"/>
      <c r="D565" s="94"/>
      <c r="H565" s="96"/>
      <c r="I565" s="96"/>
      <c r="J565" s="96"/>
    </row>
    <row r="566">
      <c r="B566" s="38"/>
      <c r="D566" s="94"/>
      <c r="H566" s="96"/>
      <c r="I566" s="96"/>
      <c r="J566" s="96"/>
    </row>
    <row r="567">
      <c r="B567" s="38"/>
      <c r="D567" s="94"/>
      <c r="H567" s="96"/>
      <c r="I567" s="96"/>
      <c r="J567" s="96"/>
    </row>
    <row r="568">
      <c r="B568" s="38"/>
      <c r="D568" s="94"/>
      <c r="H568" s="96"/>
      <c r="I568" s="96"/>
      <c r="J568" s="96"/>
    </row>
    <row r="569">
      <c r="B569" s="38"/>
      <c r="D569" s="94"/>
      <c r="H569" s="96"/>
      <c r="I569" s="96"/>
      <c r="J569" s="96"/>
    </row>
    <row r="570">
      <c r="B570" s="38"/>
      <c r="D570" s="94"/>
      <c r="H570" s="96"/>
      <c r="I570" s="96"/>
      <c r="J570" s="96"/>
    </row>
    <row r="571">
      <c r="B571" s="38"/>
      <c r="D571" s="94"/>
      <c r="H571" s="96"/>
      <c r="I571" s="96"/>
      <c r="J571" s="96"/>
    </row>
    <row r="572">
      <c r="B572" s="38"/>
      <c r="D572" s="94"/>
      <c r="H572" s="96"/>
      <c r="I572" s="96"/>
      <c r="J572" s="96"/>
    </row>
    <row r="573">
      <c r="B573" s="38"/>
      <c r="D573" s="94"/>
      <c r="H573" s="96"/>
      <c r="I573" s="96"/>
      <c r="J573" s="96"/>
    </row>
    <row r="574">
      <c r="B574" s="38"/>
      <c r="D574" s="94"/>
      <c r="H574" s="96"/>
      <c r="I574" s="96"/>
      <c r="J574" s="96"/>
    </row>
    <row r="575">
      <c r="B575" s="38"/>
      <c r="D575" s="94"/>
      <c r="H575" s="96"/>
      <c r="I575" s="96"/>
      <c r="J575" s="96"/>
    </row>
    <row r="576">
      <c r="B576" s="38"/>
      <c r="D576" s="94"/>
      <c r="H576" s="96"/>
      <c r="I576" s="96"/>
      <c r="J576" s="96"/>
    </row>
    <row r="577">
      <c r="B577" s="38"/>
      <c r="D577" s="94"/>
      <c r="H577" s="96"/>
      <c r="I577" s="96"/>
      <c r="J577" s="96"/>
    </row>
    <row r="578">
      <c r="B578" s="38"/>
      <c r="D578" s="94"/>
      <c r="H578" s="96"/>
      <c r="I578" s="96"/>
      <c r="J578" s="96"/>
    </row>
    <row r="579">
      <c r="B579" s="38"/>
      <c r="D579" s="94"/>
      <c r="H579" s="96"/>
      <c r="I579" s="96"/>
      <c r="J579" s="96"/>
    </row>
    <row r="580">
      <c r="B580" s="38"/>
      <c r="D580" s="94"/>
      <c r="H580" s="96"/>
      <c r="I580" s="96"/>
      <c r="J580" s="96"/>
    </row>
    <row r="581">
      <c r="B581" s="38"/>
      <c r="D581" s="94"/>
      <c r="H581" s="96"/>
      <c r="I581" s="96"/>
      <c r="J581" s="96"/>
    </row>
    <row r="582">
      <c r="B582" s="38"/>
      <c r="D582" s="94"/>
      <c r="H582" s="96"/>
      <c r="I582" s="96"/>
      <c r="J582" s="96"/>
    </row>
    <row r="583">
      <c r="B583" s="38"/>
      <c r="D583" s="94"/>
      <c r="H583" s="96"/>
      <c r="I583" s="96"/>
      <c r="J583" s="96"/>
    </row>
    <row r="584">
      <c r="B584" s="38"/>
      <c r="D584" s="94"/>
      <c r="H584" s="96"/>
      <c r="I584" s="96"/>
      <c r="J584" s="96"/>
    </row>
    <row r="585">
      <c r="B585" s="38"/>
      <c r="D585" s="94"/>
      <c r="H585" s="96"/>
      <c r="I585" s="96"/>
      <c r="J585" s="96"/>
    </row>
    <row r="586">
      <c r="B586" s="38"/>
      <c r="D586" s="94"/>
      <c r="H586" s="96"/>
      <c r="I586" s="96"/>
      <c r="J586" s="96"/>
    </row>
    <row r="587">
      <c r="B587" s="38"/>
      <c r="D587" s="94"/>
      <c r="H587" s="96"/>
      <c r="I587" s="96"/>
      <c r="J587" s="96"/>
    </row>
    <row r="588">
      <c r="B588" s="38"/>
      <c r="D588" s="94"/>
      <c r="H588" s="96"/>
      <c r="I588" s="96"/>
      <c r="J588" s="96"/>
    </row>
    <row r="589">
      <c r="B589" s="38"/>
      <c r="D589" s="94"/>
      <c r="H589" s="96"/>
      <c r="I589" s="96"/>
      <c r="J589" s="96"/>
    </row>
    <row r="590">
      <c r="B590" s="38"/>
      <c r="D590" s="94"/>
      <c r="H590" s="96"/>
      <c r="I590" s="96"/>
      <c r="J590" s="96"/>
    </row>
    <row r="591">
      <c r="B591" s="38"/>
      <c r="D591" s="94"/>
      <c r="H591" s="96"/>
      <c r="I591" s="96"/>
      <c r="J591" s="96"/>
    </row>
    <row r="592">
      <c r="B592" s="38"/>
      <c r="D592" s="94"/>
      <c r="H592" s="96"/>
      <c r="I592" s="96"/>
      <c r="J592" s="96"/>
    </row>
    <row r="593">
      <c r="B593" s="38"/>
      <c r="D593" s="94"/>
      <c r="H593" s="96"/>
      <c r="I593" s="96"/>
      <c r="J593" s="96"/>
    </row>
    <row r="594">
      <c r="B594" s="38"/>
      <c r="D594" s="94"/>
      <c r="H594" s="96"/>
      <c r="I594" s="96"/>
      <c r="J594" s="96"/>
    </row>
    <row r="595">
      <c r="B595" s="38"/>
      <c r="D595" s="94"/>
      <c r="H595" s="96"/>
      <c r="I595" s="96"/>
      <c r="J595" s="96"/>
    </row>
    <row r="596">
      <c r="B596" s="38"/>
      <c r="D596" s="94"/>
      <c r="H596" s="96"/>
      <c r="I596" s="96"/>
      <c r="J596" s="96"/>
    </row>
    <row r="597">
      <c r="B597" s="38"/>
      <c r="D597" s="94"/>
      <c r="H597" s="96"/>
      <c r="I597" s="96"/>
      <c r="J597" s="96"/>
    </row>
    <row r="598">
      <c r="B598" s="38"/>
      <c r="D598" s="94"/>
      <c r="H598" s="96"/>
      <c r="I598" s="96"/>
      <c r="J598" s="96"/>
    </row>
    <row r="599">
      <c r="B599" s="38"/>
      <c r="D599" s="94"/>
      <c r="H599" s="96"/>
      <c r="I599" s="96"/>
      <c r="J599" s="96"/>
    </row>
    <row r="600">
      <c r="B600" s="38"/>
      <c r="D600" s="94"/>
      <c r="H600" s="96"/>
      <c r="I600" s="96"/>
      <c r="J600" s="96"/>
    </row>
    <row r="601">
      <c r="B601" s="38"/>
      <c r="D601" s="94"/>
      <c r="H601" s="96"/>
      <c r="I601" s="96"/>
      <c r="J601" s="96"/>
    </row>
    <row r="602">
      <c r="B602" s="38"/>
      <c r="D602" s="94"/>
      <c r="H602" s="96"/>
      <c r="I602" s="96"/>
      <c r="J602" s="96"/>
    </row>
    <row r="603">
      <c r="B603" s="38"/>
      <c r="D603" s="94"/>
      <c r="H603" s="96"/>
      <c r="I603" s="96"/>
      <c r="J603" s="96"/>
    </row>
    <row r="604">
      <c r="B604" s="38"/>
      <c r="D604" s="94"/>
      <c r="H604" s="96"/>
      <c r="I604" s="96"/>
      <c r="J604" s="96"/>
    </row>
    <row r="605">
      <c r="B605" s="38"/>
      <c r="D605" s="94"/>
      <c r="H605" s="96"/>
      <c r="I605" s="96"/>
      <c r="J605" s="96"/>
    </row>
    <row r="606">
      <c r="B606" s="38"/>
      <c r="D606" s="94"/>
      <c r="H606" s="96"/>
      <c r="I606" s="96"/>
      <c r="J606" s="96"/>
    </row>
    <row r="607">
      <c r="B607" s="38"/>
      <c r="D607" s="94"/>
      <c r="H607" s="96"/>
      <c r="I607" s="96"/>
      <c r="J607" s="96"/>
    </row>
    <row r="608">
      <c r="B608" s="38"/>
      <c r="D608" s="94"/>
      <c r="H608" s="96"/>
      <c r="I608" s="96"/>
      <c r="J608" s="96"/>
    </row>
    <row r="609">
      <c r="B609" s="38"/>
      <c r="D609" s="94"/>
      <c r="H609" s="96"/>
      <c r="I609" s="96"/>
      <c r="J609" s="96"/>
    </row>
    <row r="610">
      <c r="B610" s="38"/>
      <c r="D610" s="94"/>
      <c r="H610" s="96"/>
      <c r="I610" s="96"/>
      <c r="J610" s="96"/>
    </row>
    <row r="611">
      <c r="B611" s="38"/>
      <c r="D611" s="94"/>
      <c r="H611" s="96"/>
      <c r="I611" s="96"/>
      <c r="J611" s="96"/>
    </row>
    <row r="612">
      <c r="B612" s="38"/>
      <c r="D612" s="94"/>
      <c r="H612" s="96"/>
      <c r="I612" s="96"/>
      <c r="J612" s="96"/>
    </row>
    <row r="613">
      <c r="B613" s="38"/>
      <c r="D613" s="94"/>
      <c r="H613" s="96"/>
      <c r="I613" s="96"/>
      <c r="J613" s="96"/>
    </row>
    <row r="614">
      <c r="B614" s="38"/>
      <c r="D614" s="94"/>
      <c r="H614" s="96"/>
      <c r="I614" s="96"/>
      <c r="J614" s="96"/>
    </row>
    <row r="615">
      <c r="B615" s="38"/>
      <c r="D615" s="94"/>
      <c r="H615" s="96"/>
      <c r="I615" s="96"/>
      <c r="J615" s="96"/>
    </row>
    <row r="616">
      <c r="B616" s="38"/>
      <c r="D616" s="94"/>
      <c r="H616" s="96"/>
      <c r="I616" s="96"/>
      <c r="J616" s="96"/>
    </row>
    <row r="617">
      <c r="B617" s="38"/>
      <c r="D617" s="94"/>
      <c r="H617" s="96"/>
      <c r="I617" s="96"/>
      <c r="J617" s="96"/>
    </row>
    <row r="618">
      <c r="B618" s="38"/>
      <c r="D618" s="94"/>
      <c r="H618" s="96"/>
      <c r="I618" s="96"/>
      <c r="J618" s="96"/>
    </row>
    <row r="619">
      <c r="B619" s="38"/>
      <c r="D619" s="94"/>
      <c r="H619" s="96"/>
      <c r="I619" s="96"/>
      <c r="J619" s="96"/>
    </row>
    <row r="620">
      <c r="B620" s="38"/>
      <c r="D620" s="94"/>
      <c r="H620" s="96"/>
      <c r="I620" s="96"/>
      <c r="J620" s="96"/>
    </row>
    <row r="621">
      <c r="B621" s="38"/>
      <c r="D621" s="94"/>
      <c r="H621" s="96"/>
      <c r="I621" s="96"/>
      <c r="J621" s="96"/>
    </row>
    <row r="622">
      <c r="B622" s="38"/>
      <c r="D622" s="94"/>
      <c r="H622" s="96"/>
      <c r="I622" s="96"/>
      <c r="J622" s="96"/>
    </row>
    <row r="623">
      <c r="B623" s="38"/>
      <c r="D623" s="94"/>
      <c r="H623" s="96"/>
      <c r="I623" s="96"/>
      <c r="J623" s="96"/>
    </row>
    <row r="624">
      <c r="B624" s="38"/>
      <c r="D624" s="94"/>
      <c r="H624" s="96"/>
      <c r="I624" s="96"/>
      <c r="J624" s="96"/>
    </row>
    <row r="625">
      <c r="B625" s="38"/>
      <c r="D625" s="94"/>
      <c r="H625" s="96"/>
      <c r="I625" s="96"/>
      <c r="J625" s="96"/>
    </row>
    <row r="626">
      <c r="B626" s="38"/>
      <c r="D626" s="94"/>
      <c r="H626" s="96"/>
      <c r="I626" s="96"/>
      <c r="J626" s="96"/>
    </row>
    <row r="627">
      <c r="B627" s="38"/>
      <c r="D627" s="94"/>
      <c r="H627" s="96"/>
      <c r="I627" s="96"/>
      <c r="J627" s="96"/>
    </row>
    <row r="628">
      <c r="B628" s="38"/>
      <c r="D628" s="94"/>
      <c r="H628" s="96"/>
      <c r="I628" s="96"/>
      <c r="J628" s="96"/>
    </row>
    <row r="629">
      <c r="B629" s="38"/>
      <c r="D629" s="94"/>
      <c r="H629" s="96"/>
      <c r="I629" s="96"/>
      <c r="J629" s="96"/>
    </row>
    <row r="630">
      <c r="B630" s="38"/>
      <c r="D630" s="94"/>
      <c r="H630" s="96"/>
      <c r="I630" s="96"/>
      <c r="J630" s="96"/>
    </row>
    <row r="631">
      <c r="B631" s="38"/>
      <c r="D631" s="94"/>
      <c r="H631" s="96"/>
      <c r="I631" s="96"/>
      <c r="J631" s="96"/>
    </row>
    <row r="632">
      <c r="B632" s="38"/>
      <c r="D632" s="94"/>
      <c r="H632" s="96"/>
      <c r="I632" s="96"/>
      <c r="J632" s="96"/>
    </row>
    <row r="633">
      <c r="B633" s="38"/>
      <c r="D633" s="94"/>
      <c r="H633" s="96"/>
      <c r="I633" s="96"/>
      <c r="J633" s="96"/>
    </row>
    <row r="634">
      <c r="B634" s="38"/>
      <c r="D634" s="94"/>
      <c r="H634" s="96"/>
      <c r="I634" s="96"/>
      <c r="J634" s="96"/>
    </row>
    <row r="635">
      <c r="B635" s="38"/>
      <c r="D635" s="94"/>
      <c r="H635" s="96"/>
      <c r="I635" s="96"/>
      <c r="J635" s="96"/>
    </row>
    <row r="636">
      <c r="B636" s="38"/>
      <c r="D636" s="94"/>
      <c r="H636" s="96"/>
      <c r="I636" s="96"/>
      <c r="J636" s="96"/>
    </row>
    <row r="637">
      <c r="B637" s="38"/>
      <c r="D637" s="94"/>
      <c r="H637" s="96"/>
      <c r="I637" s="96"/>
      <c r="J637" s="96"/>
    </row>
    <row r="638">
      <c r="B638" s="38"/>
      <c r="D638" s="94"/>
      <c r="H638" s="96"/>
      <c r="I638" s="96"/>
      <c r="J638" s="96"/>
    </row>
    <row r="639">
      <c r="B639" s="38"/>
      <c r="D639" s="94"/>
      <c r="H639" s="96"/>
      <c r="I639" s="96"/>
      <c r="J639" s="96"/>
    </row>
    <row r="640">
      <c r="B640" s="38"/>
      <c r="D640" s="94"/>
      <c r="H640" s="96"/>
      <c r="I640" s="96"/>
      <c r="J640" s="96"/>
    </row>
    <row r="641">
      <c r="B641" s="38"/>
      <c r="D641" s="94"/>
      <c r="H641" s="96"/>
      <c r="I641" s="96"/>
      <c r="J641" s="96"/>
    </row>
    <row r="642">
      <c r="B642" s="38"/>
      <c r="D642" s="94"/>
      <c r="H642" s="96"/>
      <c r="I642" s="96"/>
      <c r="J642" s="96"/>
    </row>
    <row r="643">
      <c r="B643" s="38"/>
      <c r="D643" s="94"/>
      <c r="H643" s="96"/>
      <c r="I643" s="96"/>
      <c r="J643" s="96"/>
    </row>
    <row r="644">
      <c r="B644" s="38"/>
      <c r="D644" s="94"/>
      <c r="H644" s="96"/>
      <c r="I644" s="96"/>
      <c r="J644" s="96"/>
    </row>
    <row r="645">
      <c r="B645" s="38"/>
      <c r="D645" s="94"/>
      <c r="H645" s="96"/>
      <c r="I645" s="96"/>
      <c r="J645" s="96"/>
    </row>
    <row r="646">
      <c r="B646" s="38"/>
      <c r="D646" s="94"/>
      <c r="H646" s="96"/>
      <c r="I646" s="96"/>
      <c r="J646" s="96"/>
    </row>
    <row r="647">
      <c r="B647" s="38"/>
      <c r="D647" s="94"/>
      <c r="H647" s="96"/>
      <c r="I647" s="96"/>
      <c r="J647" s="96"/>
    </row>
    <row r="648">
      <c r="B648" s="38"/>
      <c r="D648" s="94"/>
      <c r="H648" s="96"/>
      <c r="I648" s="96"/>
      <c r="J648" s="96"/>
    </row>
    <row r="649">
      <c r="B649" s="38"/>
      <c r="D649" s="94"/>
      <c r="H649" s="96"/>
      <c r="I649" s="96"/>
      <c r="J649" s="96"/>
    </row>
    <row r="650">
      <c r="B650" s="38"/>
      <c r="D650" s="94"/>
      <c r="H650" s="96"/>
      <c r="I650" s="96"/>
      <c r="J650" s="96"/>
    </row>
    <row r="651">
      <c r="B651" s="38"/>
      <c r="D651" s="94"/>
      <c r="H651" s="96"/>
      <c r="I651" s="96"/>
      <c r="J651" s="96"/>
    </row>
    <row r="652">
      <c r="B652" s="38"/>
      <c r="D652" s="94"/>
      <c r="H652" s="96"/>
      <c r="I652" s="96"/>
      <c r="J652" s="96"/>
    </row>
    <row r="653">
      <c r="B653" s="38"/>
      <c r="D653" s="94"/>
      <c r="H653" s="96"/>
      <c r="I653" s="96"/>
      <c r="J653" s="96"/>
    </row>
    <row r="654">
      <c r="B654" s="38"/>
      <c r="D654" s="94"/>
      <c r="H654" s="96"/>
      <c r="I654" s="96"/>
      <c r="J654" s="96"/>
    </row>
    <row r="655">
      <c r="B655" s="38"/>
      <c r="D655" s="94"/>
      <c r="H655" s="96"/>
      <c r="I655" s="96"/>
      <c r="J655" s="96"/>
    </row>
    <row r="656">
      <c r="B656" s="38"/>
      <c r="D656" s="94"/>
      <c r="H656" s="96"/>
      <c r="I656" s="96"/>
      <c r="J656" s="96"/>
    </row>
    <row r="657">
      <c r="B657" s="38"/>
      <c r="D657" s="94"/>
      <c r="H657" s="96"/>
      <c r="I657" s="96"/>
      <c r="J657" s="96"/>
    </row>
    <row r="658">
      <c r="B658" s="38"/>
      <c r="D658" s="94"/>
      <c r="H658" s="96"/>
      <c r="I658" s="96"/>
      <c r="J658" s="96"/>
    </row>
    <row r="659">
      <c r="B659" s="38"/>
      <c r="D659" s="94"/>
      <c r="H659" s="96"/>
      <c r="I659" s="96"/>
      <c r="J659" s="96"/>
    </row>
    <row r="660">
      <c r="B660" s="38"/>
      <c r="D660" s="94"/>
      <c r="H660" s="96"/>
      <c r="I660" s="96"/>
      <c r="J660" s="96"/>
    </row>
    <row r="661">
      <c r="B661" s="38"/>
      <c r="D661" s="94"/>
      <c r="H661" s="96"/>
      <c r="I661" s="96"/>
      <c r="J661" s="96"/>
    </row>
    <row r="662">
      <c r="B662" s="38"/>
      <c r="D662" s="94"/>
      <c r="H662" s="96"/>
      <c r="I662" s="96"/>
      <c r="J662" s="96"/>
    </row>
    <row r="663">
      <c r="B663" s="38"/>
      <c r="D663" s="94"/>
      <c r="H663" s="96"/>
      <c r="I663" s="96"/>
      <c r="J663" s="96"/>
    </row>
    <row r="664">
      <c r="B664" s="38"/>
      <c r="D664" s="94"/>
      <c r="H664" s="96"/>
      <c r="I664" s="96"/>
      <c r="J664" s="96"/>
    </row>
    <row r="665">
      <c r="B665" s="38"/>
      <c r="D665" s="94"/>
      <c r="H665" s="96"/>
      <c r="I665" s="96"/>
      <c r="J665" s="96"/>
    </row>
    <row r="666">
      <c r="B666" s="38"/>
      <c r="D666" s="94"/>
      <c r="H666" s="96"/>
      <c r="I666" s="96"/>
      <c r="J666" s="96"/>
    </row>
    <row r="667">
      <c r="B667" s="38"/>
      <c r="D667" s="94"/>
      <c r="H667" s="96"/>
      <c r="I667" s="96"/>
      <c r="J667" s="96"/>
    </row>
    <row r="668">
      <c r="B668" s="38"/>
      <c r="D668" s="94"/>
      <c r="H668" s="96"/>
      <c r="I668" s="96"/>
      <c r="J668" s="96"/>
    </row>
    <row r="669">
      <c r="B669" s="38"/>
      <c r="D669" s="94"/>
      <c r="H669" s="96"/>
      <c r="I669" s="96"/>
      <c r="J669" s="96"/>
    </row>
    <row r="670">
      <c r="B670" s="38"/>
      <c r="D670" s="94"/>
      <c r="H670" s="96"/>
      <c r="I670" s="96"/>
      <c r="J670" s="96"/>
    </row>
    <row r="671">
      <c r="B671" s="38"/>
      <c r="D671" s="94"/>
      <c r="H671" s="96"/>
      <c r="I671" s="96"/>
      <c r="J671" s="96"/>
    </row>
    <row r="672">
      <c r="B672" s="38"/>
      <c r="D672" s="94"/>
      <c r="H672" s="96"/>
      <c r="I672" s="96"/>
      <c r="J672" s="96"/>
    </row>
    <row r="673">
      <c r="B673" s="38"/>
      <c r="D673" s="94"/>
      <c r="H673" s="96"/>
      <c r="I673" s="96"/>
      <c r="J673" s="96"/>
    </row>
    <row r="674">
      <c r="B674" s="38"/>
      <c r="D674" s="94"/>
      <c r="H674" s="96"/>
      <c r="I674" s="96"/>
      <c r="J674" s="96"/>
    </row>
    <row r="675">
      <c r="B675" s="38"/>
      <c r="D675" s="94"/>
      <c r="H675" s="96"/>
      <c r="I675" s="96"/>
      <c r="J675" s="96"/>
    </row>
    <row r="676">
      <c r="B676" s="38"/>
      <c r="D676" s="94"/>
      <c r="H676" s="96"/>
      <c r="I676" s="96"/>
      <c r="J676" s="96"/>
    </row>
    <row r="677">
      <c r="B677" s="38"/>
      <c r="D677" s="94"/>
      <c r="H677" s="96"/>
      <c r="I677" s="96"/>
      <c r="J677" s="96"/>
    </row>
    <row r="678">
      <c r="B678" s="38"/>
      <c r="D678" s="94"/>
      <c r="H678" s="96"/>
      <c r="I678" s="96"/>
      <c r="J678" s="96"/>
    </row>
    <row r="679">
      <c r="B679" s="38"/>
      <c r="D679" s="94"/>
      <c r="H679" s="96"/>
      <c r="I679" s="96"/>
      <c r="J679" s="96"/>
    </row>
    <row r="680">
      <c r="B680" s="38"/>
      <c r="D680" s="94"/>
      <c r="H680" s="96"/>
      <c r="I680" s="96"/>
      <c r="J680" s="96"/>
    </row>
    <row r="681">
      <c r="B681" s="38"/>
      <c r="D681" s="94"/>
      <c r="H681" s="96"/>
      <c r="I681" s="96"/>
      <c r="J681" s="96"/>
    </row>
    <row r="682">
      <c r="B682" s="38"/>
      <c r="D682" s="94"/>
      <c r="H682" s="96"/>
      <c r="I682" s="96"/>
      <c r="J682" s="96"/>
    </row>
    <row r="683">
      <c r="B683" s="38"/>
      <c r="D683" s="94"/>
      <c r="H683" s="96"/>
      <c r="I683" s="96"/>
      <c r="J683" s="96"/>
    </row>
    <row r="684">
      <c r="B684" s="38"/>
      <c r="D684" s="94"/>
      <c r="H684" s="96"/>
      <c r="I684" s="96"/>
      <c r="J684" s="96"/>
    </row>
    <row r="685">
      <c r="B685" s="38"/>
      <c r="D685" s="94"/>
      <c r="H685" s="96"/>
      <c r="I685" s="96"/>
      <c r="J685" s="96"/>
    </row>
    <row r="686">
      <c r="B686" s="38"/>
      <c r="D686" s="94"/>
      <c r="H686" s="96"/>
      <c r="I686" s="96"/>
      <c r="J686" s="96"/>
    </row>
    <row r="687">
      <c r="B687" s="38"/>
      <c r="D687" s="94"/>
      <c r="H687" s="96"/>
      <c r="I687" s="96"/>
      <c r="J687" s="96"/>
    </row>
    <row r="688">
      <c r="B688" s="38"/>
      <c r="D688" s="94"/>
      <c r="H688" s="96"/>
      <c r="I688" s="96"/>
      <c r="J688" s="96"/>
    </row>
    <row r="689">
      <c r="B689" s="38"/>
      <c r="D689" s="94"/>
      <c r="H689" s="96"/>
      <c r="I689" s="96"/>
      <c r="J689" s="96"/>
    </row>
    <row r="690">
      <c r="B690" s="38"/>
      <c r="D690" s="94"/>
      <c r="H690" s="96"/>
      <c r="I690" s="96"/>
      <c r="J690" s="96"/>
    </row>
    <row r="691">
      <c r="B691" s="38"/>
      <c r="D691" s="94"/>
      <c r="H691" s="96"/>
      <c r="I691" s="96"/>
      <c r="J691" s="96"/>
    </row>
    <row r="692">
      <c r="B692" s="38"/>
      <c r="D692" s="94"/>
      <c r="H692" s="96"/>
      <c r="I692" s="96"/>
      <c r="J692" s="96"/>
    </row>
    <row r="693">
      <c r="B693" s="38"/>
      <c r="D693" s="94"/>
      <c r="H693" s="96"/>
      <c r="I693" s="96"/>
      <c r="J693" s="96"/>
    </row>
    <row r="694">
      <c r="B694" s="38"/>
      <c r="D694" s="94"/>
      <c r="H694" s="96"/>
      <c r="I694" s="96"/>
      <c r="J694" s="96"/>
    </row>
    <row r="695">
      <c r="B695" s="38"/>
      <c r="D695" s="94"/>
      <c r="H695" s="96"/>
      <c r="I695" s="96"/>
      <c r="J695" s="96"/>
    </row>
    <row r="696">
      <c r="B696" s="38"/>
      <c r="D696" s="94"/>
      <c r="H696" s="96"/>
      <c r="I696" s="96"/>
      <c r="J696" s="96"/>
    </row>
    <row r="697">
      <c r="B697" s="38"/>
      <c r="D697" s="94"/>
      <c r="H697" s="96"/>
      <c r="I697" s="96"/>
      <c r="J697" s="96"/>
    </row>
    <row r="698">
      <c r="B698" s="38"/>
      <c r="D698" s="94"/>
      <c r="H698" s="96"/>
      <c r="I698" s="96"/>
      <c r="J698" s="96"/>
    </row>
    <row r="699">
      <c r="B699" s="38"/>
      <c r="D699" s="94"/>
      <c r="H699" s="96"/>
      <c r="I699" s="96"/>
      <c r="J699" s="96"/>
    </row>
    <row r="700">
      <c r="B700" s="38"/>
      <c r="D700" s="94"/>
      <c r="H700" s="96"/>
      <c r="I700" s="96"/>
      <c r="J700" s="96"/>
    </row>
    <row r="701">
      <c r="B701" s="38"/>
      <c r="D701" s="94"/>
      <c r="H701" s="96"/>
      <c r="I701" s="96"/>
      <c r="J701" s="96"/>
    </row>
    <row r="702">
      <c r="B702" s="38"/>
      <c r="D702" s="94"/>
      <c r="H702" s="96"/>
      <c r="I702" s="96"/>
      <c r="J702" s="96"/>
    </row>
    <row r="703">
      <c r="B703" s="38"/>
      <c r="D703" s="94"/>
      <c r="H703" s="96"/>
      <c r="I703" s="96"/>
      <c r="J703" s="96"/>
    </row>
    <row r="704">
      <c r="B704" s="38"/>
      <c r="D704" s="94"/>
      <c r="H704" s="96"/>
      <c r="I704" s="96"/>
      <c r="J704" s="96"/>
    </row>
    <row r="705">
      <c r="B705" s="38"/>
      <c r="D705" s="94"/>
      <c r="H705" s="96"/>
      <c r="I705" s="96"/>
      <c r="J705" s="96"/>
    </row>
    <row r="706">
      <c r="B706" s="38"/>
      <c r="D706" s="94"/>
      <c r="H706" s="96"/>
      <c r="I706" s="96"/>
      <c r="J706" s="96"/>
    </row>
    <row r="707">
      <c r="B707" s="38"/>
      <c r="D707" s="94"/>
      <c r="H707" s="96"/>
      <c r="I707" s="96"/>
      <c r="J707" s="96"/>
    </row>
    <row r="708">
      <c r="B708" s="38"/>
      <c r="D708" s="94"/>
      <c r="H708" s="96"/>
      <c r="I708" s="96"/>
      <c r="J708" s="96"/>
    </row>
    <row r="709">
      <c r="B709" s="38"/>
      <c r="D709" s="94"/>
      <c r="H709" s="96"/>
      <c r="I709" s="96"/>
      <c r="J709" s="96"/>
    </row>
    <row r="710">
      <c r="B710" s="38"/>
      <c r="D710" s="94"/>
      <c r="H710" s="96"/>
      <c r="I710" s="96"/>
      <c r="J710" s="96"/>
    </row>
    <row r="711">
      <c r="B711" s="38"/>
      <c r="D711" s="94"/>
      <c r="H711" s="96"/>
      <c r="I711" s="96"/>
      <c r="J711" s="96"/>
    </row>
    <row r="712">
      <c r="B712" s="38"/>
      <c r="D712" s="94"/>
      <c r="H712" s="96"/>
      <c r="I712" s="96"/>
      <c r="J712" s="96"/>
    </row>
    <row r="713">
      <c r="B713" s="38"/>
      <c r="D713" s="94"/>
      <c r="H713" s="96"/>
      <c r="I713" s="96"/>
      <c r="J713" s="96"/>
    </row>
    <row r="714">
      <c r="B714" s="38"/>
      <c r="D714" s="94"/>
      <c r="H714" s="96"/>
      <c r="I714" s="96"/>
      <c r="J714" s="96"/>
    </row>
    <row r="715">
      <c r="B715" s="38"/>
      <c r="D715" s="94"/>
      <c r="H715" s="96"/>
      <c r="I715" s="96"/>
      <c r="J715" s="96"/>
    </row>
    <row r="716">
      <c r="B716" s="38"/>
      <c r="D716" s="94"/>
      <c r="H716" s="96"/>
      <c r="I716" s="96"/>
      <c r="J716" s="96"/>
    </row>
    <row r="717">
      <c r="B717" s="38"/>
      <c r="D717" s="94"/>
      <c r="H717" s="96"/>
      <c r="I717" s="96"/>
      <c r="J717" s="96"/>
    </row>
    <row r="718">
      <c r="B718" s="38"/>
      <c r="D718" s="94"/>
      <c r="H718" s="96"/>
      <c r="I718" s="96"/>
      <c r="J718" s="96"/>
    </row>
    <row r="719">
      <c r="B719" s="38"/>
      <c r="D719" s="94"/>
      <c r="H719" s="96"/>
      <c r="I719" s="96"/>
      <c r="J719" s="96"/>
    </row>
    <row r="720">
      <c r="B720" s="38"/>
      <c r="D720" s="94"/>
      <c r="H720" s="96"/>
      <c r="I720" s="96"/>
      <c r="J720" s="96"/>
    </row>
    <row r="721">
      <c r="B721" s="38"/>
      <c r="D721" s="94"/>
      <c r="H721" s="96"/>
      <c r="I721" s="96"/>
      <c r="J721" s="96"/>
    </row>
    <row r="722">
      <c r="B722" s="38"/>
      <c r="D722" s="94"/>
      <c r="H722" s="96"/>
      <c r="I722" s="96"/>
      <c r="J722" s="96"/>
    </row>
    <row r="723">
      <c r="B723" s="38"/>
      <c r="D723" s="94"/>
      <c r="H723" s="96"/>
      <c r="I723" s="96"/>
      <c r="J723" s="96"/>
    </row>
    <row r="724">
      <c r="B724" s="38"/>
      <c r="D724" s="94"/>
      <c r="H724" s="96"/>
      <c r="I724" s="96"/>
      <c r="J724" s="96"/>
    </row>
    <row r="725">
      <c r="B725" s="38"/>
      <c r="D725" s="94"/>
      <c r="H725" s="96"/>
      <c r="I725" s="96"/>
      <c r="J725" s="96"/>
    </row>
    <row r="726">
      <c r="B726" s="38"/>
      <c r="D726" s="94"/>
      <c r="H726" s="96"/>
      <c r="I726" s="96"/>
      <c r="J726" s="96"/>
    </row>
    <row r="727">
      <c r="B727" s="38"/>
      <c r="D727" s="94"/>
      <c r="H727" s="96"/>
      <c r="I727" s="96"/>
      <c r="J727" s="96"/>
    </row>
    <row r="728">
      <c r="B728" s="38"/>
      <c r="D728" s="94"/>
      <c r="H728" s="96"/>
      <c r="I728" s="96"/>
      <c r="J728" s="96"/>
    </row>
    <row r="729">
      <c r="B729" s="38"/>
      <c r="D729" s="94"/>
      <c r="H729" s="96"/>
      <c r="I729" s="96"/>
      <c r="J729" s="96"/>
    </row>
    <row r="730">
      <c r="B730" s="38"/>
      <c r="D730" s="94"/>
      <c r="H730" s="96"/>
      <c r="I730" s="96"/>
      <c r="J730" s="96"/>
    </row>
    <row r="731">
      <c r="B731" s="38"/>
      <c r="D731" s="94"/>
      <c r="H731" s="96"/>
      <c r="I731" s="96"/>
      <c r="J731" s="96"/>
    </row>
    <row r="732">
      <c r="B732" s="38"/>
      <c r="D732" s="94"/>
      <c r="H732" s="96"/>
      <c r="I732" s="96"/>
      <c r="J732" s="96"/>
    </row>
    <row r="733">
      <c r="B733" s="38"/>
      <c r="D733" s="94"/>
      <c r="H733" s="96"/>
      <c r="I733" s="96"/>
      <c r="J733" s="96"/>
    </row>
    <row r="734">
      <c r="B734" s="38"/>
      <c r="D734" s="94"/>
      <c r="H734" s="96"/>
      <c r="I734" s="96"/>
      <c r="J734" s="96"/>
    </row>
    <row r="735">
      <c r="B735" s="38"/>
      <c r="D735" s="94"/>
      <c r="H735" s="96"/>
      <c r="I735" s="96"/>
      <c r="J735" s="96"/>
    </row>
    <row r="736">
      <c r="B736" s="38"/>
      <c r="D736" s="94"/>
      <c r="H736" s="96"/>
      <c r="I736" s="96"/>
      <c r="J736" s="96"/>
    </row>
    <row r="737">
      <c r="B737" s="38"/>
      <c r="D737" s="94"/>
      <c r="H737" s="96"/>
      <c r="I737" s="96"/>
      <c r="J737" s="96"/>
    </row>
    <row r="738">
      <c r="B738" s="38"/>
      <c r="D738" s="94"/>
      <c r="H738" s="96"/>
      <c r="I738" s="96"/>
      <c r="J738" s="96"/>
    </row>
    <row r="739">
      <c r="B739" s="38"/>
      <c r="D739" s="94"/>
      <c r="H739" s="96"/>
      <c r="I739" s="96"/>
      <c r="J739" s="96"/>
    </row>
    <row r="740">
      <c r="B740" s="38"/>
      <c r="D740" s="94"/>
      <c r="H740" s="96"/>
      <c r="I740" s="96"/>
      <c r="J740" s="96"/>
    </row>
    <row r="741">
      <c r="B741" s="38"/>
      <c r="D741" s="94"/>
      <c r="H741" s="96"/>
      <c r="I741" s="96"/>
      <c r="J741" s="96"/>
    </row>
    <row r="742">
      <c r="B742" s="38"/>
      <c r="D742" s="94"/>
      <c r="H742" s="96"/>
      <c r="I742" s="96"/>
      <c r="J742" s="96"/>
    </row>
    <row r="743">
      <c r="B743" s="38"/>
      <c r="D743" s="94"/>
      <c r="H743" s="96"/>
      <c r="I743" s="96"/>
      <c r="J743" s="96"/>
    </row>
    <row r="744">
      <c r="B744" s="38"/>
      <c r="D744" s="94"/>
      <c r="H744" s="96"/>
      <c r="I744" s="96"/>
      <c r="J744" s="96"/>
    </row>
    <row r="745">
      <c r="B745" s="38"/>
      <c r="D745" s="94"/>
      <c r="H745" s="96"/>
      <c r="I745" s="96"/>
      <c r="J745" s="96"/>
    </row>
    <row r="746">
      <c r="B746" s="38"/>
      <c r="D746" s="94"/>
      <c r="H746" s="96"/>
      <c r="I746" s="96"/>
      <c r="J746" s="96"/>
    </row>
    <row r="747">
      <c r="B747" s="38"/>
      <c r="D747" s="94"/>
      <c r="H747" s="96"/>
      <c r="I747" s="96"/>
      <c r="J747" s="96"/>
    </row>
    <row r="748">
      <c r="B748" s="38"/>
      <c r="D748" s="94"/>
      <c r="H748" s="96"/>
      <c r="I748" s="96"/>
      <c r="J748" s="96"/>
    </row>
    <row r="749">
      <c r="B749" s="38"/>
      <c r="D749" s="94"/>
      <c r="H749" s="96"/>
      <c r="I749" s="96"/>
      <c r="J749" s="96"/>
    </row>
    <row r="750">
      <c r="B750" s="38"/>
      <c r="D750" s="94"/>
      <c r="H750" s="96"/>
      <c r="I750" s="96"/>
      <c r="J750" s="96"/>
    </row>
    <row r="751">
      <c r="B751" s="38"/>
      <c r="D751" s="94"/>
      <c r="H751" s="96"/>
      <c r="I751" s="96"/>
      <c r="J751" s="96"/>
    </row>
    <row r="752">
      <c r="B752" s="38"/>
      <c r="D752" s="94"/>
      <c r="H752" s="96"/>
      <c r="I752" s="96"/>
      <c r="J752" s="96"/>
    </row>
    <row r="753">
      <c r="B753" s="38"/>
      <c r="D753" s="94"/>
      <c r="H753" s="96"/>
      <c r="I753" s="96"/>
      <c r="J753" s="96"/>
    </row>
    <row r="754">
      <c r="B754" s="38"/>
      <c r="D754" s="94"/>
      <c r="H754" s="96"/>
      <c r="I754" s="96"/>
      <c r="J754" s="96"/>
    </row>
    <row r="755">
      <c r="B755" s="38"/>
      <c r="D755" s="94"/>
      <c r="H755" s="96"/>
      <c r="I755" s="96"/>
      <c r="J755" s="96"/>
    </row>
    <row r="756">
      <c r="B756" s="38"/>
      <c r="D756" s="94"/>
      <c r="H756" s="96"/>
      <c r="I756" s="96"/>
      <c r="J756" s="96"/>
    </row>
    <row r="757">
      <c r="B757" s="38"/>
      <c r="D757" s="94"/>
      <c r="H757" s="96"/>
      <c r="I757" s="96"/>
      <c r="J757" s="96"/>
    </row>
    <row r="758">
      <c r="B758" s="38"/>
      <c r="D758" s="94"/>
      <c r="H758" s="96"/>
      <c r="I758" s="96"/>
      <c r="J758" s="96"/>
    </row>
    <row r="759">
      <c r="B759" s="38"/>
      <c r="D759" s="94"/>
      <c r="H759" s="96"/>
      <c r="I759" s="96"/>
      <c r="J759" s="96"/>
    </row>
    <row r="760">
      <c r="B760" s="38"/>
      <c r="D760" s="94"/>
      <c r="H760" s="96"/>
      <c r="I760" s="96"/>
      <c r="J760" s="96"/>
    </row>
    <row r="761">
      <c r="B761" s="38"/>
      <c r="D761" s="94"/>
      <c r="H761" s="96"/>
      <c r="I761" s="96"/>
      <c r="J761" s="96"/>
    </row>
    <row r="762">
      <c r="B762" s="38"/>
      <c r="D762" s="94"/>
      <c r="H762" s="96"/>
      <c r="I762" s="96"/>
      <c r="J762" s="96"/>
    </row>
    <row r="763">
      <c r="B763" s="38"/>
      <c r="D763" s="94"/>
      <c r="H763" s="96"/>
      <c r="I763" s="96"/>
      <c r="J763" s="96"/>
    </row>
    <row r="764">
      <c r="B764" s="38"/>
      <c r="D764" s="94"/>
      <c r="H764" s="96"/>
      <c r="I764" s="96"/>
      <c r="J764" s="96"/>
    </row>
    <row r="765">
      <c r="B765" s="38"/>
      <c r="D765" s="94"/>
      <c r="H765" s="96"/>
      <c r="I765" s="96"/>
      <c r="J765" s="96"/>
    </row>
    <row r="766">
      <c r="B766" s="38"/>
      <c r="D766" s="94"/>
      <c r="H766" s="96"/>
      <c r="I766" s="96"/>
      <c r="J766" s="96"/>
    </row>
    <row r="767">
      <c r="B767" s="38"/>
      <c r="D767" s="94"/>
      <c r="H767" s="96"/>
      <c r="I767" s="96"/>
      <c r="J767" s="96"/>
    </row>
    <row r="768">
      <c r="B768" s="38"/>
      <c r="D768" s="94"/>
      <c r="H768" s="96"/>
      <c r="I768" s="96"/>
      <c r="J768" s="96"/>
    </row>
    <row r="769">
      <c r="B769" s="38"/>
      <c r="D769" s="94"/>
      <c r="H769" s="96"/>
      <c r="I769" s="96"/>
      <c r="J769" s="96"/>
    </row>
    <row r="770">
      <c r="B770" s="38"/>
      <c r="D770" s="94"/>
      <c r="H770" s="96"/>
      <c r="I770" s="96"/>
      <c r="J770" s="96"/>
    </row>
    <row r="771">
      <c r="B771" s="38"/>
      <c r="D771" s="94"/>
      <c r="H771" s="96"/>
      <c r="I771" s="96"/>
      <c r="J771" s="96"/>
    </row>
    <row r="772">
      <c r="B772" s="38"/>
      <c r="D772" s="94"/>
      <c r="H772" s="96"/>
      <c r="I772" s="96"/>
      <c r="J772" s="96"/>
    </row>
    <row r="773">
      <c r="B773" s="38"/>
      <c r="D773" s="94"/>
      <c r="H773" s="96"/>
      <c r="I773" s="96"/>
      <c r="J773" s="96"/>
    </row>
    <row r="774">
      <c r="B774" s="38"/>
      <c r="D774" s="94"/>
      <c r="H774" s="96"/>
      <c r="I774" s="96"/>
      <c r="J774" s="96"/>
    </row>
    <row r="775">
      <c r="B775" s="38"/>
      <c r="D775" s="94"/>
      <c r="H775" s="96"/>
      <c r="I775" s="96"/>
      <c r="J775" s="96"/>
    </row>
    <row r="776">
      <c r="B776" s="38"/>
      <c r="D776" s="94"/>
      <c r="H776" s="96"/>
      <c r="I776" s="96"/>
      <c r="J776" s="96"/>
    </row>
    <row r="777">
      <c r="B777" s="38"/>
      <c r="D777" s="94"/>
      <c r="H777" s="96"/>
      <c r="I777" s="96"/>
      <c r="J777" s="96"/>
    </row>
    <row r="778">
      <c r="B778" s="38"/>
      <c r="D778" s="94"/>
      <c r="H778" s="96"/>
      <c r="I778" s="96"/>
      <c r="J778" s="96"/>
    </row>
    <row r="779">
      <c r="B779" s="38"/>
      <c r="D779" s="94"/>
      <c r="H779" s="96"/>
      <c r="I779" s="96"/>
      <c r="J779" s="96"/>
    </row>
    <row r="780">
      <c r="B780" s="38"/>
      <c r="D780" s="94"/>
      <c r="H780" s="96"/>
      <c r="I780" s="96"/>
      <c r="J780" s="96"/>
    </row>
    <row r="781">
      <c r="B781" s="38"/>
      <c r="D781" s="94"/>
      <c r="H781" s="96"/>
      <c r="I781" s="96"/>
      <c r="J781" s="96"/>
    </row>
    <row r="782">
      <c r="B782" s="38"/>
      <c r="D782" s="94"/>
      <c r="H782" s="96"/>
      <c r="I782" s="96"/>
      <c r="J782" s="96"/>
    </row>
    <row r="783">
      <c r="B783" s="38"/>
      <c r="D783" s="94"/>
      <c r="H783" s="96"/>
      <c r="I783" s="96"/>
      <c r="J783" s="96"/>
    </row>
    <row r="784">
      <c r="B784" s="38"/>
      <c r="D784" s="94"/>
      <c r="H784" s="96"/>
      <c r="I784" s="96"/>
      <c r="J784" s="96"/>
    </row>
    <row r="785">
      <c r="B785" s="38"/>
      <c r="D785" s="94"/>
      <c r="H785" s="96"/>
      <c r="I785" s="96"/>
      <c r="J785" s="96"/>
    </row>
    <row r="786">
      <c r="B786" s="38"/>
      <c r="D786" s="94"/>
      <c r="H786" s="96"/>
      <c r="I786" s="96"/>
      <c r="J786" s="96"/>
    </row>
    <row r="787">
      <c r="B787" s="38"/>
      <c r="D787" s="94"/>
      <c r="H787" s="96"/>
      <c r="I787" s="96"/>
      <c r="J787" s="96"/>
    </row>
    <row r="788">
      <c r="B788" s="38"/>
      <c r="D788" s="94"/>
      <c r="H788" s="96"/>
      <c r="I788" s="96"/>
      <c r="J788" s="96"/>
    </row>
    <row r="789">
      <c r="B789" s="38"/>
      <c r="D789" s="94"/>
      <c r="H789" s="96"/>
      <c r="I789" s="96"/>
      <c r="J789" s="96"/>
    </row>
    <row r="790">
      <c r="B790" s="38"/>
      <c r="D790" s="94"/>
      <c r="H790" s="96"/>
      <c r="I790" s="96"/>
      <c r="J790" s="96"/>
    </row>
    <row r="791">
      <c r="B791" s="38"/>
      <c r="D791" s="94"/>
      <c r="H791" s="96"/>
      <c r="I791" s="96"/>
      <c r="J791" s="96"/>
    </row>
    <row r="792">
      <c r="B792" s="38"/>
      <c r="D792" s="94"/>
      <c r="H792" s="96"/>
      <c r="I792" s="96"/>
      <c r="J792" s="96"/>
    </row>
    <row r="793">
      <c r="B793" s="38"/>
      <c r="D793" s="94"/>
      <c r="H793" s="96"/>
      <c r="I793" s="96"/>
      <c r="J793" s="96"/>
    </row>
    <row r="794">
      <c r="B794" s="38"/>
      <c r="D794" s="94"/>
      <c r="H794" s="96"/>
      <c r="I794" s="96"/>
      <c r="J794" s="96"/>
    </row>
    <row r="795">
      <c r="B795" s="38"/>
      <c r="D795" s="94"/>
      <c r="H795" s="96"/>
      <c r="I795" s="96"/>
      <c r="J795" s="96"/>
    </row>
    <row r="796">
      <c r="B796" s="38"/>
      <c r="D796" s="94"/>
      <c r="H796" s="96"/>
      <c r="I796" s="96"/>
      <c r="J796" s="96"/>
    </row>
    <row r="797">
      <c r="B797" s="38"/>
      <c r="D797" s="94"/>
      <c r="H797" s="96"/>
      <c r="I797" s="96"/>
      <c r="J797" s="96"/>
    </row>
    <row r="798">
      <c r="B798" s="38"/>
      <c r="D798" s="94"/>
      <c r="H798" s="96"/>
      <c r="I798" s="96"/>
      <c r="J798" s="96"/>
    </row>
    <row r="799">
      <c r="B799" s="38"/>
      <c r="D799" s="94"/>
      <c r="H799" s="96"/>
      <c r="I799" s="96"/>
      <c r="J799" s="96"/>
    </row>
    <row r="800">
      <c r="B800" s="38"/>
      <c r="D800" s="94"/>
      <c r="H800" s="96"/>
      <c r="I800" s="96"/>
      <c r="J800" s="96"/>
    </row>
    <row r="801">
      <c r="B801" s="38"/>
      <c r="D801" s="94"/>
      <c r="H801" s="96"/>
      <c r="I801" s="96"/>
      <c r="J801" s="96"/>
    </row>
    <row r="802">
      <c r="B802" s="38"/>
      <c r="D802" s="94"/>
      <c r="H802" s="96"/>
      <c r="I802" s="96"/>
      <c r="J802" s="96"/>
    </row>
    <row r="803">
      <c r="B803" s="38"/>
      <c r="D803" s="94"/>
      <c r="H803" s="96"/>
      <c r="I803" s="96"/>
      <c r="J803" s="96"/>
    </row>
    <row r="804">
      <c r="B804" s="38"/>
      <c r="D804" s="94"/>
      <c r="H804" s="96"/>
      <c r="I804" s="96"/>
      <c r="J804" s="96"/>
    </row>
    <row r="805">
      <c r="B805" s="38"/>
      <c r="D805" s="94"/>
      <c r="H805" s="96"/>
      <c r="I805" s="96"/>
      <c r="J805" s="96"/>
    </row>
    <row r="806">
      <c r="B806" s="38"/>
      <c r="D806" s="94"/>
      <c r="H806" s="96"/>
      <c r="I806" s="96"/>
      <c r="J806" s="96"/>
    </row>
    <row r="807">
      <c r="B807" s="38"/>
      <c r="D807" s="94"/>
      <c r="H807" s="96"/>
      <c r="I807" s="96"/>
      <c r="J807" s="96"/>
    </row>
    <row r="808">
      <c r="B808" s="38"/>
      <c r="D808" s="94"/>
      <c r="H808" s="96"/>
      <c r="I808" s="96"/>
      <c r="J808" s="96"/>
    </row>
    <row r="809">
      <c r="B809" s="38"/>
      <c r="D809" s="94"/>
      <c r="H809" s="96"/>
      <c r="I809" s="96"/>
      <c r="J809" s="96"/>
    </row>
    <row r="810">
      <c r="B810" s="38"/>
      <c r="D810" s="94"/>
      <c r="H810" s="96"/>
      <c r="I810" s="96"/>
      <c r="J810" s="96"/>
    </row>
    <row r="811">
      <c r="B811" s="38"/>
      <c r="D811" s="94"/>
      <c r="H811" s="96"/>
      <c r="I811" s="96"/>
      <c r="J811" s="96"/>
    </row>
    <row r="812">
      <c r="B812" s="38"/>
      <c r="D812" s="94"/>
      <c r="H812" s="96"/>
      <c r="I812" s="96"/>
      <c r="J812" s="96"/>
    </row>
    <row r="813">
      <c r="B813" s="38"/>
      <c r="D813" s="94"/>
      <c r="H813" s="96"/>
      <c r="I813" s="96"/>
      <c r="J813" s="96"/>
    </row>
    <row r="814">
      <c r="B814" s="38"/>
      <c r="D814" s="94"/>
      <c r="H814" s="96"/>
      <c r="I814" s="96"/>
      <c r="J814" s="96"/>
    </row>
    <row r="815">
      <c r="B815" s="38"/>
      <c r="D815" s="94"/>
      <c r="H815" s="96"/>
      <c r="I815" s="96"/>
      <c r="J815" s="96"/>
    </row>
    <row r="816">
      <c r="B816" s="38"/>
      <c r="D816" s="94"/>
      <c r="H816" s="96"/>
      <c r="I816" s="96"/>
      <c r="J816" s="96"/>
    </row>
    <row r="817">
      <c r="B817" s="38"/>
      <c r="D817" s="94"/>
      <c r="H817" s="96"/>
      <c r="I817" s="96"/>
      <c r="J817" s="96"/>
    </row>
    <row r="818">
      <c r="B818" s="38"/>
      <c r="D818" s="94"/>
      <c r="H818" s="96"/>
      <c r="I818" s="96"/>
      <c r="J818" s="96"/>
    </row>
    <row r="819">
      <c r="B819" s="38"/>
      <c r="D819" s="94"/>
      <c r="H819" s="96"/>
      <c r="I819" s="96"/>
      <c r="J819" s="96"/>
    </row>
    <row r="820">
      <c r="B820" s="38"/>
      <c r="D820" s="94"/>
      <c r="H820" s="96"/>
      <c r="I820" s="96"/>
      <c r="J820" s="96"/>
    </row>
    <row r="821">
      <c r="B821" s="38"/>
      <c r="D821" s="94"/>
      <c r="H821" s="96"/>
      <c r="I821" s="96"/>
      <c r="J821" s="96"/>
    </row>
    <row r="822">
      <c r="B822" s="38"/>
      <c r="D822" s="94"/>
      <c r="H822" s="96"/>
      <c r="I822" s="96"/>
      <c r="J822" s="96"/>
    </row>
    <row r="823">
      <c r="B823" s="38"/>
      <c r="D823" s="94"/>
      <c r="H823" s="96"/>
      <c r="I823" s="96"/>
      <c r="J823" s="96"/>
    </row>
    <row r="824">
      <c r="B824" s="38"/>
      <c r="D824" s="94"/>
      <c r="H824" s="96"/>
      <c r="I824" s="96"/>
      <c r="J824" s="96"/>
    </row>
    <row r="825">
      <c r="B825" s="38"/>
      <c r="D825" s="94"/>
      <c r="H825" s="96"/>
      <c r="I825" s="96"/>
      <c r="J825" s="96"/>
    </row>
    <row r="826">
      <c r="B826" s="38"/>
      <c r="D826" s="94"/>
      <c r="H826" s="96"/>
      <c r="I826" s="96"/>
      <c r="J826" s="96"/>
    </row>
    <row r="827">
      <c r="B827" s="38"/>
      <c r="D827" s="94"/>
      <c r="H827" s="96"/>
      <c r="I827" s="96"/>
      <c r="J827" s="96"/>
    </row>
    <row r="828">
      <c r="B828" s="38"/>
      <c r="D828" s="94"/>
      <c r="H828" s="96"/>
      <c r="I828" s="96"/>
      <c r="J828" s="96"/>
    </row>
    <row r="829">
      <c r="B829" s="38"/>
      <c r="D829" s="94"/>
      <c r="H829" s="96"/>
      <c r="I829" s="96"/>
      <c r="J829" s="96"/>
    </row>
    <row r="830">
      <c r="B830" s="38"/>
      <c r="D830" s="94"/>
      <c r="H830" s="96"/>
      <c r="I830" s="96"/>
      <c r="J830" s="96"/>
    </row>
    <row r="831">
      <c r="B831" s="38"/>
      <c r="D831" s="94"/>
      <c r="H831" s="96"/>
      <c r="I831" s="96"/>
      <c r="J831" s="96"/>
    </row>
    <row r="832">
      <c r="B832" s="38"/>
      <c r="D832" s="94"/>
      <c r="H832" s="96"/>
      <c r="I832" s="96"/>
      <c r="J832" s="96"/>
    </row>
    <row r="833">
      <c r="B833" s="38"/>
      <c r="D833" s="94"/>
      <c r="H833" s="96"/>
      <c r="I833" s="96"/>
      <c r="J833" s="96"/>
    </row>
    <row r="834">
      <c r="B834" s="38"/>
      <c r="D834" s="94"/>
      <c r="H834" s="96"/>
      <c r="I834" s="96"/>
      <c r="J834" s="96"/>
    </row>
    <row r="835">
      <c r="B835" s="38"/>
      <c r="D835" s="94"/>
      <c r="H835" s="96"/>
      <c r="I835" s="96"/>
      <c r="J835" s="96"/>
    </row>
    <row r="836">
      <c r="B836" s="38"/>
      <c r="D836" s="94"/>
      <c r="H836" s="96"/>
      <c r="I836" s="96"/>
      <c r="J836" s="96"/>
    </row>
    <row r="837">
      <c r="B837" s="38"/>
      <c r="D837" s="94"/>
      <c r="H837" s="96"/>
      <c r="I837" s="96"/>
      <c r="J837" s="96"/>
    </row>
    <row r="838">
      <c r="B838" s="38"/>
      <c r="D838" s="94"/>
      <c r="H838" s="96"/>
      <c r="I838" s="96"/>
      <c r="J838" s="96"/>
    </row>
    <row r="839">
      <c r="B839" s="38"/>
      <c r="D839" s="94"/>
      <c r="H839" s="96"/>
      <c r="I839" s="96"/>
      <c r="J839" s="96"/>
    </row>
    <row r="840">
      <c r="B840" s="38"/>
      <c r="D840" s="94"/>
      <c r="H840" s="96"/>
      <c r="I840" s="96"/>
      <c r="J840" s="96"/>
    </row>
    <row r="841">
      <c r="B841" s="38"/>
      <c r="D841" s="94"/>
      <c r="H841" s="96"/>
      <c r="I841" s="96"/>
      <c r="J841" s="96"/>
    </row>
    <row r="842">
      <c r="B842" s="38"/>
      <c r="D842" s="94"/>
      <c r="H842" s="96"/>
      <c r="I842" s="96"/>
      <c r="J842" s="96"/>
    </row>
    <row r="843">
      <c r="B843" s="38"/>
      <c r="D843" s="94"/>
      <c r="H843" s="96"/>
      <c r="I843" s="96"/>
      <c r="J843" s="96"/>
    </row>
    <row r="844">
      <c r="B844" s="38"/>
      <c r="D844" s="94"/>
      <c r="H844" s="96"/>
      <c r="I844" s="96"/>
      <c r="J844" s="96"/>
    </row>
    <row r="845">
      <c r="B845" s="38"/>
      <c r="D845" s="94"/>
      <c r="H845" s="96"/>
      <c r="I845" s="96"/>
      <c r="J845" s="96"/>
    </row>
    <row r="846">
      <c r="B846" s="38"/>
      <c r="D846" s="94"/>
      <c r="H846" s="96"/>
      <c r="I846" s="96"/>
      <c r="J846" s="96"/>
    </row>
    <row r="847">
      <c r="B847" s="38"/>
      <c r="D847" s="94"/>
      <c r="H847" s="96"/>
      <c r="I847" s="96"/>
      <c r="J847" s="96"/>
    </row>
    <row r="848">
      <c r="B848" s="38"/>
      <c r="D848" s="94"/>
      <c r="H848" s="96"/>
      <c r="I848" s="96"/>
      <c r="J848" s="96"/>
    </row>
    <row r="849">
      <c r="B849" s="38"/>
      <c r="D849" s="94"/>
      <c r="H849" s="96"/>
      <c r="I849" s="96"/>
      <c r="J849" s="96"/>
    </row>
    <row r="850">
      <c r="B850" s="38"/>
      <c r="D850" s="94"/>
      <c r="H850" s="96"/>
      <c r="I850" s="96"/>
      <c r="J850" s="96"/>
    </row>
    <row r="851">
      <c r="B851" s="38"/>
      <c r="D851" s="94"/>
      <c r="H851" s="96"/>
      <c r="I851" s="96"/>
      <c r="J851" s="96"/>
    </row>
    <row r="852">
      <c r="B852" s="38"/>
      <c r="D852" s="94"/>
      <c r="H852" s="96"/>
      <c r="I852" s="96"/>
      <c r="J852" s="96"/>
    </row>
    <row r="853">
      <c r="B853" s="38"/>
      <c r="D853" s="94"/>
      <c r="H853" s="96"/>
      <c r="I853" s="96"/>
      <c r="J853" s="96"/>
    </row>
    <row r="854">
      <c r="B854" s="38"/>
      <c r="D854" s="94"/>
      <c r="H854" s="96"/>
      <c r="I854" s="96"/>
      <c r="J854" s="96"/>
    </row>
    <row r="855">
      <c r="B855" s="38"/>
      <c r="D855" s="94"/>
      <c r="H855" s="96"/>
      <c r="I855" s="96"/>
      <c r="J855" s="96"/>
    </row>
    <row r="856">
      <c r="B856" s="38"/>
      <c r="D856" s="94"/>
      <c r="H856" s="96"/>
      <c r="I856" s="96"/>
      <c r="J856" s="96"/>
    </row>
    <row r="857">
      <c r="B857" s="38"/>
      <c r="D857" s="94"/>
      <c r="H857" s="96"/>
      <c r="I857" s="96"/>
      <c r="J857" s="96"/>
    </row>
    <row r="858">
      <c r="B858" s="38"/>
      <c r="D858" s="94"/>
      <c r="H858" s="96"/>
      <c r="I858" s="96"/>
      <c r="J858" s="96"/>
    </row>
    <row r="859">
      <c r="B859" s="38"/>
      <c r="D859" s="94"/>
      <c r="H859" s="96"/>
      <c r="I859" s="96"/>
      <c r="J859" s="96"/>
    </row>
    <row r="860">
      <c r="B860" s="38"/>
      <c r="D860" s="94"/>
      <c r="H860" s="96"/>
      <c r="I860" s="96"/>
      <c r="J860" s="96"/>
    </row>
    <row r="861">
      <c r="B861" s="38"/>
      <c r="D861" s="94"/>
      <c r="H861" s="96"/>
      <c r="I861" s="96"/>
      <c r="J861" s="96"/>
    </row>
    <row r="862">
      <c r="B862" s="38"/>
      <c r="D862" s="94"/>
      <c r="H862" s="96"/>
      <c r="I862" s="96"/>
      <c r="J862" s="96"/>
    </row>
    <row r="863">
      <c r="B863" s="38"/>
      <c r="D863" s="94"/>
      <c r="H863" s="96"/>
      <c r="I863" s="96"/>
      <c r="J863" s="96"/>
    </row>
    <row r="864">
      <c r="B864" s="38"/>
      <c r="D864" s="94"/>
      <c r="H864" s="96"/>
      <c r="I864" s="96"/>
      <c r="J864" s="96"/>
    </row>
    <row r="865">
      <c r="B865" s="38"/>
      <c r="D865" s="94"/>
      <c r="H865" s="96"/>
      <c r="I865" s="96"/>
      <c r="J865" s="96"/>
    </row>
    <row r="866">
      <c r="B866" s="38"/>
      <c r="D866" s="94"/>
      <c r="H866" s="96"/>
      <c r="I866" s="96"/>
      <c r="J866" s="96"/>
    </row>
    <row r="867">
      <c r="B867" s="38"/>
      <c r="D867" s="94"/>
      <c r="H867" s="96"/>
      <c r="I867" s="96"/>
      <c r="J867" s="96"/>
    </row>
    <row r="868">
      <c r="B868" s="38"/>
      <c r="D868" s="94"/>
      <c r="H868" s="96"/>
      <c r="I868" s="96"/>
      <c r="J868" s="96"/>
    </row>
    <row r="869">
      <c r="B869" s="38"/>
      <c r="D869" s="94"/>
      <c r="H869" s="96"/>
      <c r="I869" s="96"/>
      <c r="J869" s="96"/>
    </row>
    <row r="870">
      <c r="B870" s="38"/>
      <c r="D870" s="94"/>
      <c r="H870" s="96"/>
      <c r="I870" s="96"/>
      <c r="J870" s="96"/>
    </row>
    <row r="871">
      <c r="B871" s="38"/>
      <c r="D871" s="94"/>
      <c r="H871" s="96"/>
      <c r="I871" s="96"/>
      <c r="J871" s="96"/>
    </row>
    <row r="872">
      <c r="B872" s="38"/>
      <c r="D872" s="94"/>
      <c r="H872" s="96"/>
      <c r="I872" s="96"/>
      <c r="J872" s="96"/>
    </row>
    <row r="873">
      <c r="B873" s="38"/>
      <c r="D873" s="94"/>
      <c r="H873" s="96"/>
      <c r="I873" s="96"/>
      <c r="J873" s="96"/>
    </row>
    <row r="874">
      <c r="B874" s="38"/>
      <c r="D874" s="94"/>
      <c r="H874" s="96"/>
      <c r="I874" s="96"/>
      <c r="J874" s="96"/>
    </row>
    <row r="875">
      <c r="B875" s="38"/>
      <c r="D875" s="94"/>
      <c r="H875" s="96"/>
      <c r="I875" s="96"/>
      <c r="J875" s="96"/>
    </row>
    <row r="876">
      <c r="B876" s="38"/>
      <c r="D876" s="94"/>
      <c r="H876" s="96"/>
      <c r="I876" s="96"/>
      <c r="J876" s="96"/>
    </row>
    <row r="877">
      <c r="B877" s="38"/>
      <c r="D877" s="94"/>
      <c r="H877" s="96"/>
      <c r="I877" s="96"/>
      <c r="J877" s="96"/>
    </row>
    <row r="878">
      <c r="B878" s="38"/>
      <c r="D878" s="94"/>
      <c r="H878" s="96"/>
      <c r="I878" s="96"/>
      <c r="J878" s="96"/>
    </row>
    <row r="879">
      <c r="B879" s="38"/>
      <c r="D879" s="94"/>
      <c r="H879" s="96"/>
      <c r="I879" s="96"/>
      <c r="J879" s="96"/>
    </row>
    <row r="880">
      <c r="B880" s="38"/>
      <c r="D880" s="94"/>
      <c r="H880" s="96"/>
      <c r="I880" s="96"/>
      <c r="J880" s="96"/>
    </row>
    <row r="881">
      <c r="B881" s="38"/>
      <c r="D881" s="94"/>
      <c r="H881" s="96"/>
      <c r="I881" s="96"/>
      <c r="J881" s="96"/>
    </row>
    <row r="882">
      <c r="B882" s="38"/>
      <c r="D882" s="94"/>
      <c r="H882" s="96"/>
      <c r="I882" s="96"/>
      <c r="J882" s="96"/>
    </row>
    <row r="883">
      <c r="B883" s="38"/>
      <c r="D883" s="94"/>
      <c r="H883" s="96"/>
      <c r="I883" s="96"/>
      <c r="J883" s="96"/>
    </row>
    <row r="884">
      <c r="B884" s="38"/>
      <c r="D884" s="94"/>
      <c r="H884" s="96"/>
      <c r="I884" s="96"/>
      <c r="J884" s="96"/>
    </row>
    <row r="885">
      <c r="B885" s="38"/>
      <c r="D885" s="94"/>
      <c r="H885" s="96"/>
      <c r="I885" s="96"/>
      <c r="J885" s="96"/>
    </row>
    <row r="886">
      <c r="B886" s="38"/>
      <c r="D886" s="94"/>
      <c r="H886" s="96"/>
      <c r="I886" s="96"/>
      <c r="J886" s="96"/>
    </row>
    <row r="887">
      <c r="B887" s="38"/>
      <c r="D887" s="94"/>
      <c r="H887" s="96"/>
      <c r="I887" s="96"/>
      <c r="J887" s="96"/>
    </row>
    <row r="888">
      <c r="B888" s="38"/>
      <c r="D888" s="94"/>
      <c r="H888" s="96"/>
      <c r="I888" s="96"/>
      <c r="J888" s="96"/>
    </row>
    <row r="889">
      <c r="B889" s="38"/>
      <c r="D889" s="94"/>
      <c r="H889" s="96"/>
      <c r="I889" s="96"/>
      <c r="J889" s="96"/>
    </row>
    <row r="890">
      <c r="B890" s="38"/>
      <c r="D890" s="94"/>
      <c r="H890" s="96"/>
      <c r="I890" s="96"/>
      <c r="J890" s="96"/>
    </row>
    <row r="891">
      <c r="B891" s="38"/>
      <c r="D891" s="94"/>
      <c r="H891" s="96"/>
      <c r="I891" s="96"/>
      <c r="J891" s="96"/>
    </row>
    <row r="892">
      <c r="B892" s="38"/>
      <c r="D892" s="94"/>
      <c r="H892" s="96"/>
      <c r="I892" s="96"/>
      <c r="J892" s="96"/>
    </row>
    <row r="893">
      <c r="B893" s="38"/>
      <c r="D893" s="94"/>
      <c r="H893" s="96"/>
      <c r="I893" s="96"/>
      <c r="J893" s="96"/>
    </row>
    <row r="894">
      <c r="B894" s="38"/>
      <c r="D894" s="94"/>
      <c r="H894" s="96"/>
      <c r="I894" s="96"/>
      <c r="J894" s="96"/>
    </row>
    <row r="895">
      <c r="B895" s="38"/>
      <c r="D895" s="94"/>
      <c r="H895" s="96"/>
      <c r="I895" s="96"/>
      <c r="J895" s="96"/>
    </row>
    <row r="896">
      <c r="B896" s="38"/>
      <c r="D896" s="94"/>
      <c r="H896" s="96"/>
      <c r="I896" s="96"/>
      <c r="J896" s="96"/>
    </row>
    <row r="897">
      <c r="B897" s="38"/>
      <c r="D897" s="94"/>
      <c r="H897" s="96"/>
      <c r="I897" s="96"/>
      <c r="J897" s="96"/>
    </row>
    <row r="898">
      <c r="B898" s="38"/>
      <c r="D898" s="94"/>
      <c r="H898" s="96"/>
      <c r="I898" s="96"/>
      <c r="J898" s="96"/>
    </row>
    <row r="899">
      <c r="B899" s="38"/>
      <c r="D899" s="94"/>
      <c r="H899" s="96"/>
      <c r="I899" s="96"/>
      <c r="J899" s="96"/>
    </row>
    <row r="900">
      <c r="B900" s="38"/>
      <c r="D900" s="94"/>
      <c r="H900" s="96"/>
      <c r="I900" s="96"/>
      <c r="J900" s="96"/>
    </row>
    <row r="901">
      <c r="B901" s="38"/>
      <c r="D901" s="94"/>
      <c r="H901" s="96"/>
      <c r="I901" s="96"/>
      <c r="J901" s="96"/>
    </row>
    <row r="902">
      <c r="B902" s="38"/>
      <c r="D902" s="94"/>
      <c r="H902" s="96"/>
      <c r="I902" s="96"/>
      <c r="J902" s="96"/>
    </row>
    <row r="903">
      <c r="B903" s="38"/>
      <c r="D903" s="94"/>
      <c r="H903" s="96"/>
      <c r="I903" s="96"/>
      <c r="J903" s="96"/>
    </row>
    <row r="904">
      <c r="B904" s="38"/>
      <c r="D904" s="94"/>
      <c r="H904" s="96"/>
      <c r="I904" s="96"/>
      <c r="J904" s="96"/>
    </row>
    <row r="905">
      <c r="B905" s="38"/>
      <c r="D905" s="94"/>
      <c r="H905" s="96"/>
      <c r="I905" s="96"/>
      <c r="J905" s="96"/>
    </row>
    <row r="906">
      <c r="B906" s="38"/>
      <c r="D906" s="94"/>
      <c r="H906" s="96"/>
      <c r="I906" s="96"/>
      <c r="J906" s="96"/>
    </row>
    <row r="907">
      <c r="B907" s="38"/>
      <c r="D907" s="94"/>
      <c r="H907" s="96"/>
      <c r="I907" s="96"/>
      <c r="J907" s="96"/>
    </row>
    <row r="908">
      <c r="B908" s="38"/>
      <c r="D908" s="94"/>
      <c r="H908" s="96"/>
      <c r="I908" s="96"/>
      <c r="J908" s="96"/>
    </row>
    <row r="909">
      <c r="B909" s="38"/>
      <c r="D909" s="94"/>
      <c r="H909" s="96"/>
      <c r="I909" s="96"/>
      <c r="J909" s="96"/>
    </row>
    <row r="910">
      <c r="B910" s="38"/>
      <c r="D910" s="94"/>
      <c r="H910" s="96"/>
      <c r="I910" s="96"/>
      <c r="J910" s="96"/>
    </row>
    <row r="911">
      <c r="B911" s="38"/>
      <c r="D911" s="94"/>
      <c r="H911" s="96"/>
      <c r="I911" s="96"/>
      <c r="J911" s="96"/>
    </row>
    <row r="912">
      <c r="B912" s="38"/>
      <c r="D912" s="94"/>
      <c r="H912" s="96"/>
      <c r="I912" s="96"/>
      <c r="J912" s="96"/>
    </row>
    <row r="913">
      <c r="B913" s="38"/>
      <c r="D913" s="94"/>
      <c r="H913" s="96"/>
      <c r="I913" s="96"/>
      <c r="J913" s="96"/>
    </row>
    <row r="914">
      <c r="B914" s="38"/>
      <c r="D914" s="94"/>
      <c r="H914" s="96"/>
      <c r="I914" s="96"/>
      <c r="J914" s="96"/>
    </row>
    <row r="915">
      <c r="B915" s="38"/>
      <c r="D915" s="94"/>
      <c r="H915" s="96"/>
      <c r="I915" s="96"/>
      <c r="J915" s="96"/>
    </row>
    <row r="916">
      <c r="B916" s="38"/>
      <c r="D916" s="94"/>
      <c r="H916" s="96"/>
      <c r="I916" s="96"/>
      <c r="J916" s="96"/>
    </row>
    <row r="917">
      <c r="B917" s="38"/>
      <c r="D917" s="94"/>
      <c r="H917" s="96"/>
      <c r="I917" s="96"/>
      <c r="J917" s="96"/>
    </row>
    <row r="918">
      <c r="B918" s="38"/>
      <c r="D918" s="94"/>
      <c r="H918" s="96"/>
      <c r="I918" s="96"/>
      <c r="J918" s="96"/>
    </row>
    <row r="919">
      <c r="B919" s="38"/>
      <c r="D919" s="94"/>
      <c r="H919" s="96"/>
      <c r="I919" s="96"/>
      <c r="J919" s="96"/>
    </row>
    <row r="920">
      <c r="B920" s="38"/>
      <c r="D920" s="94"/>
      <c r="H920" s="96"/>
      <c r="I920" s="96"/>
      <c r="J920" s="96"/>
    </row>
    <row r="921">
      <c r="B921" s="38"/>
      <c r="D921" s="94"/>
      <c r="H921" s="96"/>
      <c r="I921" s="96"/>
      <c r="J921" s="96"/>
    </row>
    <row r="922">
      <c r="B922" s="38"/>
      <c r="D922" s="94"/>
      <c r="H922" s="96"/>
      <c r="I922" s="96"/>
      <c r="J922" s="96"/>
    </row>
    <row r="923">
      <c r="B923" s="38"/>
      <c r="D923" s="94"/>
      <c r="H923" s="96"/>
      <c r="I923" s="96"/>
      <c r="J923" s="96"/>
    </row>
    <row r="924">
      <c r="B924" s="38"/>
      <c r="D924" s="94"/>
      <c r="H924" s="96"/>
      <c r="I924" s="96"/>
      <c r="J924" s="96"/>
    </row>
    <row r="925">
      <c r="B925" s="38"/>
      <c r="D925" s="94"/>
      <c r="H925" s="96"/>
      <c r="I925" s="96"/>
      <c r="J925" s="96"/>
    </row>
    <row r="926">
      <c r="B926" s="38"/>
      <c r="D926" s="94"/>
      <c r="H926" s="96"/>
      <c r="I926" s="96"/>
      <c r="J926" s="96"/>
    </row>
    <row r="927">
      <c r="B927" s="38"/>
      <c r="D927" s="94"/>
      <c r="H927" s="96"/>
      <c r="I927" s="96"/>
      <c r="J927" s="96"/>
    </row>
    <row r="928">
      <c r="B928" s="38"/>
      <c r="D928" s="94"/>
      <c r="H928" s="96"/>
      <c r="I928" s="96"/>
      <c r="J928" s="96"/>
    </row>
    <row r="929">
      <c r="B929" s="38"/>
      <c r="D929" s="94"/>
      <c r="H929" s="96"/>
      <c r="I929" s="96"/>
      <c r="J929" s="96"/>
    </row>
    <row r="930">
      <c r="B930" s="38"/>
      <c r="D930" s="94"/>
      <c r="H930" s="96"/>
      <c r="I930" s="96"/>
      <c r="J930" s="96"/>
    </row>
    <row r="931">
      <c r="B931" s="38"/>
      <c r="D931" s="94"/>
      <c r="H931" s="96"/>
      <c r="I931" s="96"/>
      <c r="J931" s="96"/>
    </row>
    <row r="932">
      <c r="B932" s="38"/>
      <c r="D932" s="94"/>
      <c r="H932" s="96"/>
      <c r="I932" s="96"/>
      <c r="J932" s="96"/>
    </row>
    <row r="933">
      <c r="B933" s="38"/>
      <c r="D933" s="94"/>
      <c r="H933" s="96"/>
      <c r="I933" s="96"/>
      <c r="J933" s="96"/>
    </row>
    <row r="934">
      <c r="B934" s="38"/>
      <c r="D934" s="94"/>
      <c r="H934" s="96"/>
      <c r="I934" s="96"/>
      <c r="J934" s="96"/>
    </row>
    <row r="935">
      <c r="B935" s="38"/>
      <c r="D935" s="94"/>
      <c r="H935" s="96"/>
      <c r="I935" s="96"/>
      <c r="J935" s="96"/>
    </row>
    <row r="936">
      <c r="B936" s="38"/>
      <c r="D936" s="94"/>
      <c r="H936" s="96"/>
      <c r="I936" s="96"/>
      <c r="J936" s="96"/>
    </row>
    <row r="937">
      <c r="B937" s="38"/>
      <c r="D937" s="94"/>
      <c r="H937" s="96"/>
      <c r="I937" s="96"/>
      <c r="J937" s="96"/>
    </row>
    <row r="938">
      <c r="B938" s="38"/>
      <c r="D938" s="94"/>
      <c r="H938" s="96"/>
      <c r="I938" s="96"/>
      <c r="J938" s="96"/>
    </row>
    <row r="939">
      <c r="B939" s="38"/>
      <c r="D939" s="94"/>
      <c r="H939" s="96"/>
      <c r="I939" s="96"/>
      <c r="J939" s="96"/>
    </row>
    <row r="940">
      <c r="B940" s="38"/>
      <c r="D940" s="94"/>
      <c r="H940" s="96"/>
      <c r="I940" s="96"/>
      <c r="J940" s="96"/>
    </row>
    <row r="941">
      <c r="B941" s="38"/>
      <c r="D941" s="94"/>
      <c r="H941" s="96"/>
      <c r="I941" s="96"/>
      <c r="J941" s="96"/>
    </row>
    <row r="942">
      <c r="B942" s="38"/>
      <c r="D942" s="94"/>
      <c r="H942" s="96"/>
      <c r="I942" s="96"/>
      <c r="J942" s="96"/>
    </row>
    <row r="943">
      <c r="B943" s="38"/>
      <c r="D943" s="94"/>
      <c r="H943" s="96"/>
      <c r="I943" s="96"/>
      <c r="J943" s="96"/>
    </row>
    <row r="944">
      <c r="B944" s="38"/>
      <c r="D944" s="94"/>
      <c r="H944" s="96"/>
      <c r="I944" s="96"/>
      <c r="J944" s="96"/>
    </row>
    <row r="945">
      <c r="B945" s="38"/>
      <c r="D945" s="94"/>
      <c r="H945" s="96"/>
      <c r="I945" s="96"/>
      <c r="J945" s="96"/>
    </row>
    <row r="946">
      <c r="B946" s="38"/>
      <c r="D946" s="94"/>
      <c r="H946" s="96"/>
      <c r="I946" s="96"/>
      <c r="J946" s="96"/>
    </row>
    <row r="947">
      <c r="B947" s="38"/>
      <c r="D947" s="94"/>
      <c r="H947" s="96"/>
      <c r="I947" s="96"/>
      <c r="J947" s="96"/>
    </row>
    <row r="948">
      <c r="B948" s="38"/>
      <c r="D948" s="94"/>
      <c r="H948" s="96"/>
      <c r="I948" s="96"/>
      <c r="J948" s="96"/>
    </row>
    <row r="949">
      <c r="B949" s="38"/>
      <c r="D949" s="94"/>
      <c r="H949" s="96"/>
      <c r="I949" s="96"/>
      <c r="J949" s="96"/>
    </row>
    <row r="950">
      <c r="B950" s="38"/>
      <c r="D950" s="94"/>
      <c r="H950" s="96"/>
      <c r="I950" s="96"/>
      <c r="J950" s="96"/>
    </row>
    <row r="951">
      <c r="B951" s="38"/>
      <c r="D951" s="94"/>
      <c r="H951" s="96"/>
      <c r="I951" s="96"/>
      <c r="J951" s="96"/>
    </row>
    <row r="952">
      <c r="B952" s="38"/>
      <c r="D952" s="94"/>
      <c r="H952" s="96"/>
      <c r="I952" s="96"/>
      <c r="J952" s="96"/>
    </row>
    <row r="953">
      <c r="B953" s="38"/>
      <c r="D953" s="94"/>
      <c r="H953" s="96"/>
      <c r="I953" s="96"/>
      <c r="J953" s="96"/>
    </row>
    <row r="954">
      <c r="B954" s="38"/>
      <c r="D954" s="94"/>
      <c r="H954" s="96"/>
      <c r="I954" s="96"/>
      <c r="J954" s="96"/>
    </row>
    <row r="955">
      <c r="B955" s="38"/>
      <c r="D955" s="94"/>
      <c r="H955" s="96"/>
      <c r="I955" s="96"/>
      <c r="J955" s="96"/>
    </row>
    <row r="956">
      <c r="B956" s="38"/>
      <c r="D956" s="94"/>
      <c r="H956" s="96"/>
      <c r="I956" s="96"/>
      <c r="J956" s="96"/>
    </row>
    <row r="957">
      <c r="B957" s="38"/>
      <c r="D957" s="94"/>
      <c r="H957" s="96"/>
      <c r="I957" s="96"/>
      <c r="J957" s="96"/>
    </row>
    <row r="958">
      <c r="B958" s="38"/>
      <c r="D958" s="94"/>
      <c r="H958" s="96"/>
      <c r="I958" s="96"/>
      <c r="J958" s="96"/>
    </row>
    <row r="959">
      <c r="B959" s="38"/>
      <c r="D959" s="94"/>
      <c r="H959" s="96"/>
      <c r="I959" s="96"/>
      <c r="J959" s="96"/>
    </row>
    <row r="960">
      <c r="B960" s="38"/>
      <c r="D960" s="94"/>
      <c r="H960" s="96"/>
      <c r="I960" s="96"/>
      <c r="J960" s="96"/>
    </row>
    <row r="961">
      <c r="B961" s="38"/>
      <c r="D961" s="94"/>
      <c r="H961" s="96"/>
      <c r="I961" s="96"/>
      <c r="J961" s="96"/>
    </row>
    <row r="962">
      <c r="B962" s="38"/>
      <c r="D962" s="94"/>
      <c r="H962" s="96"/>
      <c r="I962" s="96"/>
      <c r="J962" s="96"/>
    </row>
    <row r="963">
      <c r="B963" s="38"/>
      <c r="D963" s="94"/>
      <c r="H963" s="96"/>
      <c r="I963" s="96"/>
      <c r="J963" s="96"/>
    </row>
    <row r="964">
      <c r="B964" s="38"/>
      <c r="D964" s="94"/>
      <c r="H964" s="96"/>
      <c r="I964" s="96"/>
      <c r="J964" s="96"/>
    </row>
    <row r="965">
      <c r="B965" s="38"/>
      <c r="D965" s="94"/>
      <c r="H965" s="96"/>
      <c r="I965" s="96"/>
      <c r="J965" s="96"/>
    </row>
    <row r="966">
      <c r="B966" s="38"/>
      <c r="D966" s="94"/>
      <c r="H966" s="96"/>
      <c r="I966" s="96"/>
      <c r="J966" s="96"/>
    </row>
    <row r="967">
      <c r="B967" s="38"/>
      <c r="D967" s="94"/>
      <c r="H967" s="96"/>
      <c r="I967" s="96"/>
      <c r="J967" s="96"/>
    </row>
    <row r="968">
      <c r="B968" s="38"/>
      <c r="D968" s="94"/>
      <c r="H968" s="96"/>
      <c r="I968" s="96"/>
      <c r="J968" s="96"/>
    </row>
    <row r="969">
      <c r="B969" s="38"/>
      <c r="D969" s="94"/>
      <c r="H969" s="96"/>
      <c r="I969" s="96"/>
      <c r="J969" s="96"/>
    </row>
    <row r="970">
      <c r="B970" s="38"/>
      <c r="D970" s="94"/>
      <c r="H970" s="96"/>
      <c r="I970" s="96"/>
      <c r="J970" s="96"/>
    </row>
    <row r="971">
      <c r="B971" s="38"/>
      <c r="D971" s="94"/>
      <c r="H971" s="96"/>
      <c r="I971" s="96"/>
      <c r="J971" s="96"/>
    </row>
    <row r="972">
      <c r="B972" s="38"/>
      <c r="D972" s="94"/>
      <c r="H972" s="96"/>
      <c r="I972" s="96"/>
      <c r="J972" s="96"/>
    </row>
    <row r="973">
      <c r="B973" s="38"/>
      <c r="D973" s="94"/>
      <c r="H973" s="96"/>
      <c r="I973" s="96"/>
      <c r="J973" s="96"/>
    </row>
    <row r="974">
      <c r="B974" s="38"/>
      <c r="D974" s="94"/>
      <c r="H974" s="96"/>
      <c r="I974" s="96"/>
      <c r="J974" s="96"/>
    </row>
    <row r="975">
      <c r="B975" s="38"/>
      <c r="D975" s="94"/>
      <c r="H975" s="96"/>
      <c r="I975" s="96"/>
      <c r="J975" s="96"/>
    </row>
    <row r="976">
      <c r="B976" s="38"/>
      <c r="D976" s="94"/>
      <c r="H976" s="96"/>
      <c r="I976" s="96"/>
      <c r="J976" s="96"/>
    </row>
    <row r="977">
      <c r="B977" s="38"/>
      <c r="D977" s="94"/>
      <c r="H977" s="96"/>
      <c r="I977" s="96"/>
      <c r="J977" s="96"/>
    </row>
    <row r="978">
      <c r="B978" s="38"/>
      <c r="D978" s="94"/>
      <c r="H978" s="96"/>
      <c r="I978" s="96"/>
      <c r="J978" s="96"/>
    </row>
    <row r="979">
      <c r="B979" s="38"/>
      <c r="D979" s="94"/>
      <c r="H979" s="96"/>
      <c r="I979" s="96"/>
      <c r="J979" s="96"/>
    </row>
    <row r="980">
      <c r="B980" s="38"/>
      <c r="D980" s="94"/>
      <c r="H980" s="96"/>
      <c r="I980" s="96"/>
      <c r="J980" s="96"/>
    </row>
    <row r="981">
      <c r="B981" s="38"/>
      <c r="D981" s="94"/>
      <c r="H981" s="96"/>
      <c r="I981" s="96"/>
      <c r="J981" s="96"/>
    </row>
    <row r="982">
      <c r="B982" s="38"/>
      <c r="D982" s="94"/>
      <c r="H982" s="96"/>
      <c r="I982" s="96"/>
      <c r="J982" s="96"/>
    </row>
    <row r="983">
      <c r="B983" s="38"/>
      <c r="D983" s="94"/>
      <c r="H983" s="96"/>
      <c r="I983" s="96"/>
      <c r="J983" s="96"/>
    </row>
    <row r="984">
      <c r="B984" s="38"/>
      <c r="D984" s="94"/>
      <c r="H984" s="96"/>
      <c r="I984" s="96"/>
      <c r="J984" s="96"/>
    </row>
    <row r="985">
      <c r="B985" s="38"/>
      <c r="D985" s="94"/>
      <c r="H985" s="96"/>
      <c r="I985" s="96"/>
      <c r="J985" s="96"/>
    </row>
    <row r="986">
      <c r="B986" s="38"/>
      <c r="D986" s="94"/>
      <c r="H986" s="96"/>
      <c r="I986" s="96"/>
      <c r="J986" s="96"/>
    </row>
    <row r="987">
      <c r="B987" s="38"/>
      <c r="D987" s="94"/>
      <c r="H987" s="96"/>
      <c r="I987" s="96"/>
      <c r="J987" s="96"/>
    </row>
    <row r="988">
      <c r="B988" s="38"/>
      <c r="D988" s="94"/>
      <c r="H988" s="96"/>
      <c r="I988" s="96"/>
      <c r="J988" s="96"/>
    </row>
    <row r="989">
      <c r="B989" s="38"/>
      <c r="D989" s="94"/>
      <c r="H989" s="96"/>
      <c r="I989" s="96"/>
      <c r="J989" s="96"/>
    </row>
    <row r="990">
      <c r="B990" s="38"/>
      <c r="D990" s="94"/>
      <c r="H990" s="96"/>
      <c r="I990" s="96"/>
      <c r="J990" s="96"/>
    </row>
    <row r="991">
      <c r="B991" s="38"/>
      <c r="D991" s="94"/>
      <c r="H991" s="96"/>
      <c r="I991" s="96"/>
      <c r="J991" s="96"/>
    </row>
    <row r="992">
      <c r="B992" s="38"/>
      <c r="D992" s="94"/>
      <c r="H992" s="96"/>
      <c r="I992" s="96"/>
      <c r="J992" s="96"/>
    </row>
    <row r="993">
      <c r="B993" s="38"/>
      <c r="D993" s="94"/>
      <c r="H993" s="96"/>
      <c r="I993" s="96"/>
      <c r="J993" s="96"/>
    </row>
    <row r="994">
      <c r="B994" s="38"/>
      <c r="D994" s="94"/>
      <c r="H994" s="96"/>
      <c r="I994" s="96"/>
      <c r="J994" s="96"/>
    </row>
    <row r="995">
      <c r="B995" s="38"/>
      <c r="D995" s="94"/>
      <c r="H995" s="96"/>
      <c r="I995" s="96"/>
      <c r="J995" s="96"/>
    </row>
    <row r="996">
      <c r="B996" s="38"/>
      <c r="D996" s="94"/>
      <c r="H996" s="96"/>
      <c r="I996" s="96"/>
      <c r="J996" s="96"/>
    </row>
    <row r="997">
      <c r="B997" s="38"/>
      <c r="D997" s="94"/>
      <c r="H997" s="96"/>
      <c r="I997" s="96"/>
      <c r="J997" s="96"/>
    </row>
    <row r="998">
      <c r="B998" s="38"/>
      <c r="D998" s="94"/>
      <c r="H998" s="96"/>
      <c r="I998" s="96"/>
      <c r="J998" s="96"/>
    </row>
    <row r="999">
      <c r="B999" s="38"/>
      <c r="D999" s="94"/>
      <c r="H999" s="96"/>
      <c r="I999" s="96"/>
      <c r="J999" s="96"/>
    </row>
    <row r="1000">
      <c r="B1000" s="38"/>
      <c r="D1000" s="94"/>
      <c r="H1000" s="96"/>
      <c r="I1000" s="96"/>
      <c r="J1000" s="96"/>
    </row>
    <row r="1001">
      <c r="B1001" s="38"/>
      <c r="D1001" s="94"/>
      <c r="H1001" s="96"/>
      <c r="I1001" s="96"/>
      <c r="J1001" s="96"/>
    </row>
    <row r="1002">
      <c r="B1002" s="38"/>
      <c r="D1002" s="94"/>
      <c r="H1002" s="96"/>
      <c r="I1002" s="96"/>
      <c r="J1002" s="96"/>
    </row>
    <row r="1003">
      <c r="B1003" s="38"/>
      <c r="D1003" s="94"/>
      <c r="H1003" s="96"/>
      <c r="I1003" s="96"/>
      <c r="J1003" s="96"/>
    </row>
    <row r="1004">
      <c r="B1004" s="38"/>
      <c r="D1004" s="94"/>
      <c r="H1004" s="96"/>
      <c r="I1004" s="96"/>
      <c r="J1004" s="96"/>
    </row>
  </sheetData>
  <autoFilter ref="$A$1:$AO$41"/>
  <mergeCells count="11">
    <mergeCell ref="B26:B29"/>
    <mergeCell ref="B30:B33"/>
    <mergeCell ref="B34:B37"/>
    <mergeCell ref="B38:B41"/>
    <mergeCell ref="K1:AO1"/>
    <mergeCell ref="B2:B5"/>
    <mergeCell ref="B6:B9"/>
    <mergeCell ref="B10:B13"/>
    <mergeCell ref="B14:B17"/>
    <mergeCell ref="B18:B21"/>
    <mergeCell ref="B22:B2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3" width="18.25"/>
    <col customWidth="1" min="4" max="4" width="17.75"/>
  </cols>
  <sheetData>
    <row r="1">
      <c r="A1" s="68"/>
      <c r="B1" s="104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>
      <c r="A2" s="68"/>
      <c r="B2" s="104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>
      <c r="A3" s="68"/>
      <c r="B3" s="104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>
      <c r="A4" s="68"/>
      <c r="B4" s="104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>
      <c r="A5" s="68"/>
      <c r="B5" s="104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>
      <c r="A6" s="68"/>
      <c r="B6" s="104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>
      <c r="A7" s="68"/>
      <c r="B7" s="104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>
      <c r="A8" s="68"/>
      <c r="B8" s="104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>
      <c r="A9" s="68"/>
      <c r="B9" s="104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>
      <c r="A10" s="68"/>
      <c r="B10" s="104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>
      <c r="A11" s="68"/>
      <c r="B11" s="104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>
      <c r="A12" s="68"/>
      <c r="B12" s="104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>
      <c r="A13" s="58" t="str">
        <f>'DATA ROOM APARTKOST'!A47</f>
        <v>OCCUPANCY</v>
      </c>
      <c r="B13" s="59" t="str">
        <f>'DATA ROOM APARTKOST'!C49</f>
        <v>REVENUE</v>
      </c>
      <c r="C13" s="60" t="str">
        <f>'DATA ROOM APARTKOST'!A58</f>
        <v>TARGET</v>
      </c>
      <c r="D13" s="61" t="str">
        <f>'DATA ROOM APARTKOST'!A51</f>
        <v>TOTAL KAMAR</v>
      </c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>
      <c r="A14" s="62">
        <f>'DATA ROOM APARTKOST'!B47</f>
        <v>0</v>
      </c>
      <c r="B14" s="63">
        <f>'DATA ROOM APARTKOST'!D49</f>
        <v>0</v>
      </c>
      <c r="C14" s="64">
        <f>'DATA ROOM APARTKOST'!B58</f>
        <v>864000000</v>
      </c>
      <c r="D14" s="65">
        <f>'DATA ROOM APARTKOST'!B51</f>
        <v>40</v>
      </c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>
      <c r="A15" s="66" t="str">
        <f>'DATA ROOM APARTKOST'!A49</f>
        <v>INHOUSE</v>
      </c>
      <c r="B15" s="67">
        <f>'DATA ROOM APARTKOST'!B49</f>
        <v>0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>
      <c r="A16" s="69" t="s">
        <v>41</v>
      </c>
      <c r="B16" s="67">
        <f>'DATA ROOM APARTKOST'!B52</f>
        <v>0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>
      <c r="A17" s="70" t="s">
        <v>43</v>
      </c>
      <c r="B17" s="71">
        <f>'DATA ROOM APARTKOST'!B53</f>
        <v>0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>
      <c r="A18" s="72" t="s">
        <v>41</v>
      </c>
      <c r="B18" s="73">
        <f>'DATA ROOM APARTKOST'!D52</f>
        <v>0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>
      <c r="A19" s="70" t="s">
        <v>43</v>
      </c>
      <c r="B19" s="74">
        <f>'DATA ROOM APARTKOST'!D53</f>
        <v>0</v>
      </c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>
      <c r="A20" s="68"/>
      <c r="B20" s="105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>
      <c r="A21" s="68"/>
      <c r="B21" s="104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>
      <c r="A22" s="68"/>
      <c r="B22" s="104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>
      <c r="A23" s="68"/>
      <c r="B23" s="104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>
      <c r="A24" s="68"/>
      <c r="B24" s="104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>
      <c r="A25" s="68"/>
      <c r="B25" s="104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>
      <c r="A26" s="68"/>
      <c r="B26" s="104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>
      <c r="A27" s="68"/>
      <c r="B27" s="104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>
      <c r="A28" s="68"/>
      <c r="B28" s="104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>
      <c r="A29" s="68"/>
      <c r="B29" s="104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>
      <c r="A30" s="68"/>
      <c r="B30" s="104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>
      <c r="A31" s="68"/>
      <c r="B31" s="104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>
      <c r="A32" s="68"/>
      <c r="B32" s="104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>
      <c r="A33" s="68"/>
      <c r="B33" s="104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>
      <c r="A34" s="68"/>
      <c r="B34" s="104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>
      <c r="A35" s="68"/>
      <c r="B35" s="104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>
      <c r="A36" s="68"/>
      <c r="B36" s="104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>
      <c r="A37" s="68"/>
      <c r="B37" s="104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>
      <c r="A38" s="68"/>
      <c r="B38" s="104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>
      <c r="A39" s="68"/>
      <c r="B39" s="104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>
      <c r="A40" s="68"/>
      <c r="B40" s="104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>
      <c r="A41" s="68"/>
      <c r="B41" s="104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>
      <c r="A42" s="68"/>
      <c r="B42" s="104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>
      <c r="A43" s="68"/>
      <c r="B43" s="104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>
      <c r="A44" s="68"/>
      <c r="B44" s="104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>
      <c r="A45" s="68"/>
      <c r="B45" s="104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>
      <c r="A46" s="68"/>
      <c r="B46" s="104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>
      <c r="A47" s="68"/>
      <c r="B47" s="104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>
      <c r="A48" s="68"/>
      <c r="B48" s="104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>
      <c r="A49" s="68"/>
      <c r="B49" s="104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>
      <c r="A50" s="68"/>
      <c r="B50" s="104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>
      <c r="A51" s="68"/>
      <c r="B51" s="104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>
      <c r="A52" s="68"/>
      <c r="B52" s="104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>
      <c r="A53" s="68"/>
      <c r="B53" s="104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>
      <c r="A54" s="68"/>
      <c r="B54" s="104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>
      <c r="A55" s="68"/>
      <c r="B55" s="104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>
      <c r="A56" s="68"/>
      <c r="B56" s="104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>
      <c r="A57" s="68"/>
      <c r="B57" s="104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>
      <c r="A58" s="68"/>
      <c r="B58" s="104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>
      <c r="A59" s="68"/>
      <c r="B59" s="104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>
      <c r="A60" s="68"/>
      <c r="B60" s="104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>
      <c r="A61" s="68"/>
      <c r="B61" s="104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>
      <c r="A62" s="68"/>
      <c r="B62" s="104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>
      <c r="A63" s="68"/>
      <c r="B63" s="104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>
      <c r="A64" s="68"/>
      <c r="B64" s="104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>
      <c r="A65" s="68"/>
      <c r="B65" s="104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>
      <c r="A66" s="68"/>
      <c r="B66" s="104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>
      <c r="A67" s="68"/>
      <c r="B67" s="104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>
      <c r="A68" s="68"/>
      <c r="B68" s="104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>
      <c r="A69" s="68"/>
      <c r="B69" s="104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>
      <c r="A70" s="68"/>
      <c r="B70" s="104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>
      <c r="A71" s="68"/>
      <c r="B71" s="104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>
      <c r="A72" s="68"/>
      <c r="B72" s="104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>
      <c r="A73" s="68"/>
      <c r="B73" s="104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>
      <c r="A74" s="68"/>
      <c r="B74" s="104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>
      <c r="A75" s="68"/>
      <c r="B75" s="104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>
      <c r="A76" s="68"/>
      <c r="B76" s="104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>
      <c r="A77" s="68"/>
      <c r="B77" s="104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>
      <c r="A78" s="68"/>
      <c r="B78" s="104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>
      <c r="A79" s="68"/>
      <c r="B79" s="104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>
      <c r="A80" s="68"/>
      <c r="B80" s="104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>
      <c r="A81" s="68"/>
      <c r="B81" s="104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>
      <c r="A82" s="68"/>
      <c r="B82" s="104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>
      <c r="A83" s="68"/>
      <c r="B83" s="104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>
      <c r="A84" s="68"/>
      <c r="B84" s="104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>
      <c r="A85" s="68"/>
      <c r="B85" s="104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>
      <c r="A86" s="68"/>
      <c r="B86" s="104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>
      <c r="A87" s="68"/>
      <c r="B87" s="104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>
      <c r="A88" s="68"/>
      <c r="B88" s="104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>
      <c r="A89" s="68"/>
      <c r="B89" s="104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>
      <c r="A90" s="68"/>
      <c r="B90" s="104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>
      <c r="A91" s="68"/>
      <c r="B91" s="104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>
      <c r="A92" s="68"/>
      <c r="B92" s="104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>
      <c r="A93" s="68"/>
      <c r="B93" s="104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>
      <c r="A94" s="68"/>
      <c r="B94" s="104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>
      <c r="A95" s="68"/>
      <c r="B95" s="104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>
      <c r="A96" s="68"/>
      <c r="B96" s="104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>
      <c r="A97" s="68"/>
      <c r="B97" s="104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>
      <c r="A98" s="68"/>
      <c r="B98" s="104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>
      <c r="A99" s="68"/>
      <c r="B99" s="104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>
      <c r="A100" s="68"/>
      <c r="B100" s="104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>
      <c r="A101" s="68"/>
      <c r="B101" s="104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>
      <c r="A102" s="68"/>
      <c r="B102" s="104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>
      <c r="A103" s="68"/>
      <c r="B103" s="104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>
      <c r="A104" s="68"/>
      <c r="B104" s="104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>
      <c r="A105" s="68"/>
      <c r="B105" s="104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>
      <c r="A106" s="68"/>
      <c r="B106" s="104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>
      <c r="A107" s="68"/>
      <c r="B107" s="104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>
      <c r="A108" s="68"/>
      <c r="B108" s="104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>
      <c r="A109" s="68"/>
      <c r="B109" s="104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>
      <c r="A110" s="68"/>
      <c r="B110" s="104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>
      <c r="A111" s="68"/>
      <c r="B111" s="104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>
      <c r="A112" s="68"/>
      <c r="B112" s="104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>
      <c r="A113" s="68"/>
      <c r="B113" s="104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>
      <c r="A114" s="68"/>
      <c r="B114" s="104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>
      <c r="A115" s="68"/>
      <c r="B115" s="104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>
      <c r="A116" s="68"/>
      <c r="B116" s="104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>
      <c r="A117" s="68"/>
      <c r="B117" s="104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>
      <c r="A118" s="68"/>
      <c r="B118" s="104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>
      <c r="A119" s="68"/>
      <c r="B119" s="104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>
      <c r="A120" s="68"/>
      <c r="B120" s="104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>
      <c r="A121" s="68"/>
      <c r="B121" s="104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>
      <c r="A122" s="68"/>
      <c r="B122" s="104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>
      <c r="A123" s="68"/>
      <c r="B123" s="104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>
      <c r="A124" s="68"/>
      <c r="B124" s="104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>
      <c r="A125" s="68"/>
      <c r="B125" s="104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>
      <c r="A126" s="68"/>
      <c r="B126" s="104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>
      <c r="A127" s="68"/>
      <c r="B127" s="104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>
      <c r="A128" s="68"/>
      <c r="B128" s="104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>
      <c r="A129" s="68"/>
      <c r="B129" s="104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>
      <c r="A130" s="68"/>
      <c r="B130" s="104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>
      <c r="A131" s="68"/>
      <c r="B131" s="104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>
      <c r="A132" s="68"/>
      <c r="B132" s="104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>
      <c r="A133" s="68"/>
      <c r="B133" s="104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>
      <c r="A134" s="68"/>
      <c r="B134" s="104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>
      <c r="A135" s="68"/>
      <c r="B135" s="104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>
      <c r="A136" s="68"/>
      <c r="B136" s="104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>
      <c r="A137" s="68"/>
      <c r="B137" s="104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>
      <c r="A138" s="68"/>
      <c r="B138" s="104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>
      <c r="A139" s="68"/>
      <c r="B139" s="104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>
      <c r="A140" s="68"/>
      <c r="B140" s="104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>
      <c r="A141" s="68"/>
      <c r="B141" s="104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>
      <c r="A142" s="68"/>
      <c r="B142" s="104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>
      <c r="A143" s="68"/>
      <c r="B143" s="104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>
      <c r="A144" s="68"/>
      <c r="B144" s="104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>
      <c r="A145" s="68"/>
      <c r="B145" s="104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>
      <c r="A146" s="68"/>
      <c r="B146" s="104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>
      <c r="A147" s="68"/>
      <c r="B147" s="104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>
      <c r="A148" s="68"/>
      <c r="B148" s="104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>
      <c r="A149" s="68"/>
      <c r="B149" s="104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>
      <c r="A150" s="68"/>
      <c r="B150" s="104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>
      <c r="A151" s="68"/>
      <c r="B151" s="104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>
      <c r="A152" s="68"/>
      <c r="B152" s="104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>
      <c r="A153" s="68"/>
      <c r="B153" s="104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>
      <c r="A154" s="68"/>
      <c r="B154" s="104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>
      <c r="A155" s="68"/>
      <c r="B155" s="104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>
      <c r="A156" s="68"/>
      <c r="B156" s="104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>
      <c r="A157" s="68"/>
      <c r="B157" s="104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>
      <c r="A158" s="68"/>
      <c r="B158" s="104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>
      <c r="A159" s="68"/>
      <c r="B159" s="104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>
      <c r="A160" s="68"/>
      <c r="B160" s="104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>
      <c r="A161" s="68"/>
      <c r="B161" s="104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>
      <c r="A162" s="68"/>
      <c r="B162" s="104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>
      <c r="A163" s="68"/>
      <c r="B163" s="104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>
      <c r="A164" s="68"/>
      <c r="B164" s="104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>
      <c r="A165" s="68"/>
      <c r="B165" s="104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>
      <c r="A166" s="68"/>
      <c r="B166" s="104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>
      <c r="A167" s="68"/>
      <c r="B167" s="104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>
      <c r="A168" s="68"/>
      <c r="B168" s="104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>
      <c r="A169" s="68"/>
      <c r="B169" s="104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>
      <c r="A170" s="68"/>
      <c r="B170" s="104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>
      <c r="A171" s="68"/>
      <c r="B171" s="104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>
      <c r="A172" s="68"/>
      <c r="B172" s="104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>
      <c r="A173" s="68"/>
      <c r="B173" s="104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>
      <c r="A174" s="68"/>
      <c r="B174" s="104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>
      <c r="A175" s="68"/>
      <c r="B175" s="104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>
      <c r="A176" s="68"/>
      <c r="B176" s="104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>
      <c r="A177" s="68"/>
      <c r="B177" s="104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>
      <c r="A178" s="68"/>
      <c r="B178" s="104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>
      <c r="A179" s="68"/>
      <c r="B179" s="104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>
      <c r="A180" s="68"/>
      <c r="B180" s="104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>
      <c r="A181" s="68"/>
      <c r="B181" s="104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>
      <c r="A182" s="68"/>
      <c r="B182" s="104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>
      <c r="A183" s="68"/>
      <c r="B183" s="104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>
      <c r="A184" s="68"/>
      <c r="B184" s="104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>
      <c r="A185" s="68"/>
      <c r="B185" s="104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>
      <c r="A186" s="68"/>
      <c r="B186" s="104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>
      <c r="A187" s="68"/>
      <c r="B187" s="104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>
      <c r="A188" s="68"/>
      <c r="B188" s="104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>
      <c r="A189" s="68"/>
      <c r="B189" s="104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>
      <c r="A190" s="68"/>
      <c r="B190" s="104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>
      <c r="A191" s="68"/>
      <c r="B191" s="104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>
      <c r="A192" s="68"/>
      <c r="B192" s="104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>
      <c r="A193" s="68"/>
      <c r="B193" s="104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>
      <c r="A194" s="68"/>
      <c r="B194" s="104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>
      <c r="A195" s="68"/>
      <c r="B195" s="104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>
      <c r="A196" s="68"/>
      <c r="B196" s="104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>
      <c r="A197" s="68"/>
      <c r="B197" s="104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>
      <c r="A198" s="68"/>
      <c r="B198" s="104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>
      <c r="A199" s="68"/>
      <c r="B199" s="104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>
      <c r="A200" s="68"/>
      <c r="B200" s="104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>
      <c r="A201" s="68"/>
      <c r="B201" s="104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>
      <c r="A202" s="68"/>
      <c r="B202" s="104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>
      <c r="A203" s="68"/>
      <c r="B203" s="104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>
      <c r="A204" s="68"/>
      <c r="B204" s="104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>
      <c r="A205" s="68"/>
      <c r="B205" s="104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>
      <c r="A206" s="68"/>
      <c r="B206" s="104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>
      <c r="A207" s="68"/>
      <c r="B207" s="104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>
      <c r="A208" s="68"/>
      <c r="B208" s="104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>
      <c r="A209" s="68"/>
      <c r="B209" s="104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>
      <c r="A210" s="68"/>
      <c r="B210" s="104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>
      <c r="A211" s="68"/>
      <c r="B211" s="104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>
      <c r="A212" s="68"/>
      <c r="B212" s="104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>
      <c r="A213" s="68"/>
      <c r="B213" s="104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>
      <c r="A214" s="68"/>
      <c r="B214" s="104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>
      <c r="A215" s="68"/>
      <c r="B215" s="104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>
      <c r="A216" s="68"/>
      <c r="B216" s="104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>
      <c r="A217" s="68"/>
      <c r="B217" s="104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>
      <c r="A218" s="68"/>
      <c r="B218" s="104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>
      <c r="A219" s="68"/>
      <c r="B219" s="104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>
      <c r="A220" s="68"/>
      <c r="B220" s="104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>
      <c r="A221" s="68"/>
      <c r="B221" s="104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>
      <c r="A222" s="68"/>
      <c r="B222" s="104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>
      <c r="A223" s="68"/>
      <c r="B223" s="104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>
      <c r="A224" s="68"/>
      <c r="B224" s="104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>
      <c r="A225" s="68"/>
      <c r="B225" s="104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>
      <c r="A226" s="68"/>
      <c r="B226" s="104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>
      <c r="A227" s="68"/>
      <c r="B227" s="104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>
      <c r="A228" s="68"/>
      <c r="B228" s="104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>
      <c r="A229" s="68"/>
      <c r="B229" s="104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>
      <c r="A230" s="68"/>
      <c r="B230" s="104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>
      <c r="A231" s="68"/>
      <c r="B231" s="104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>
      <c r="A232" s="68"/>
      <c r="B232" s="104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>
      <c r="A233" s="68"/>
      <c r="B233" s="104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>
      <c r="A234" s="68"/>
      <c r="B234" s="104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>
      <c r="A235" s="68"/>
      <c r="B235" s="104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>
      <c r="A236" s="68"/>
      <c r="B236" s="104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>
      <c r="A237" s="68"/>
      <c r="B237" s="104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>
      <c r="A238" s="68"/>
      <c r="B238" s="104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>
      <c r="A239" s="68"/>
      <c r="B239" s="104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>
      <c r="A240" s="68"/>
      <c r="B240" s="104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>
      <c r="A241" s="68"/>
      <c r="B241" s="104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>
      <c r="A242" s="68"/>
      <c r="B242" s="104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>
      <c r="A243" s="68"/>
      <c r="B243" s="104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>
      <c r="A244" s="68"/>
      <c r="B244" s="104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>
      <c r="A245" s="68"/>
      <c r="B245" s="104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>
      <c r="A246" s="68"/>
      <c r="B246" s="104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>
      <c r="A247" s="68"/>
      <c r="B247" s="104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>
      <c r="A248" s="68"/>
      <c r="B248" s="104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>
      <c r="A249" s="68"/>
      <c r="B249" s="104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>
      <c r="A250" s="68"/>
      <c r="B250" s="104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>
      <c r="A251" s="68"/>
      <c r="B251" s="104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>
      <c r="A252" s="68"/>
      <c r="B252" s="104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>
      <c r="A253" s="68"/>
      <c r="B253" s="104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>
      <c r="A254" s="68"/>
      <c r="B254" s="104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>
      <c r="A255" s="68"/>
      <c r="B255" s="104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>
      <c r="A256" s="68"/>
      <c r="B256" s="104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>
      <c r="A257" s="68"/>
      <c r="B257" s="104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>
      <c r="A258" s="68"/>
      <c r="B258" s="104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>
      <c r="A259" s="68"/>
      <c r="B259" s="104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>
      <c r="A260" s="68"/>
      <c r="B260" s="104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>
      <c r="A261" s="68"/>
      <c r="B261" s="104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>
      <c r="A262" s="68"/>
      <c r="B262" s="104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>
      <c r="A263" s="68"/>
      <c r="B263" s="104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>
      <c r="A264" s="68"/>
      <c r="B264" s="104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>
      <c r="A265" s="68"/>
      <c r="B265" s="104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>
      <c r="A266" s="68"/>
      <c r="B266" s="104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>
      <c r="A267" s="68"/>
      <c r="B267" s="104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>
      <c r="A268" s="68"/>
      <c r="B268" s="104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>
      <c r="A269" s="68"/>
      <c r="B269" s="104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>
      <c r="A270" s="68"/>
      <c r="B270" s="104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>
      <c r="A271" s="68"/>
      <c r="B271" s="104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>
      <c r="A272" s="68"/>
      <c r="B272" s="104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>
      <c r="A273" s="68"/>
      <c r="B273" s="104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>
      <c r="A274" s="68"/>
      <c r="B274" s="104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>
      <c r="A275" s="68"/>
      <c r="B275" s="104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>
      <c r="A276" s="68"/>
      <c r="B276" s="104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>
      <c r="A277" s="68"/>
      <c r="B277" s="104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>
      <c r="A278" s="68"/>
      <c r="B278" s="104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>
      <c r="A279" s="68"/>
      <c r="B279" s="104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>
      <c r="A280" s="68"/>
      <c r="B280" s="104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>
      <c r="A281" s="68"/>
      <c r="B281" s="104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>
      <c r="A282" s="68"/>
      <c r="B282" s="104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>
      <c r="A283" s="68"/>
      <c r="B283" s="104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>
      <c r="A284" s="68"/>
      <c r="B284" s="104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>
      <c r="A285" s="68"/>
      <c r="B285" s="104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>
      <c r="A286" s="68"/>
      <c r="B286" s="104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>
      <c r="A287" s="68"/>
      <c r="B287" s="104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>
      <c r="A288" s="68"/>
      <c r="B288" s="104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>
      <c r="A289" s="68"/>
      <c r="B289" s="104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>
      <c r="A290" s="68"/>
      <c r="B290" s="104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>
      <c r="A291" s="68"/>
      <c r="B291" s="104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>
      <c r="A292" s="68"/>
      <c r="B292" s="104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>
      <c r="A293" s="68"/>
      <c r="B293" s="104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>
      <c r="A294" s="68"/>
      <c r="B294" s="104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>
      <c r="A295" s="68"/>
      <c r="B295" s="104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>
      <c r="A296" s="68"/>
      <c r="B296" s="104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>
      <c r="A297" s="68"/>
      <c r="B297" s="104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>
      <c r="A298" s="68"/>
      <c r="B298" s="104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>
      <c r="A299" s="68"/>
      <c r="B299" s="104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>
      <c r="A300" s="68"/>
      <c r="B300" s="104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>
      <c r="A301" s="68"/>
      <c r="B301" s="104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>
      <c r="A302" s="68"/>
      <c r="B302" s="104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>
      <c r="A303" s="68"/>
      <c r="B303" s="104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>
      <c r="A304" s="68"/>
      <c r="B304" s="104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>
      <c r="A305" s="68"/>
      <c r="B305" s="104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>
      <c r="A306" s="68"/>
      <c r="B306" s="104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>
      <c r="A307" s="68"/>
      <c r="B307" s="104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>
      <c r="A308" s="68"/>
      <c r="B308" s="104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>
      <c r="A309" s="68"/>
      <c r="B309" s="104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>
      <c r="A310" s="68"/>
      <c r="B310" s="104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>
      <c r="A311" s="68"/>
      <c r="B311" s="104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>
      <c r="A312" s="68"/>
      <c r="B312" s="104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>
      <c r="A313" s="68"/>
      <c r="B313" s="104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>
      <c r="A314" s="68"/>
      <c r="B314" s="104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>
      <c r="A315" s="68"/>
      <c r="B315" s="104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>
      <c r="A316" s="68"/>
      <c r="B316" s="104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>
      <c r="A317" s="68"/>
      <c r="B317" s="104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>
      <c r="A318" s="68"/>
      <c r="B318" s="104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>
      <c r="A319" s="68"/>
      <c r="B319" s="104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>
      <c r="A320" s="68"/>
      <c r="B320" s="104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>
      <c r="A321" s="68"/>
      <c r="B321" s="104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>
      <c r="A322" s="68"/>
      <c r="B322" s="104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>
      <c r="A323" s="68"/>
      <c r="B323" s="104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>
      <c r="A324" s="68"/>
      <c r="B324" s="104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>
      <c r="A325" s="68"/>
      <c r="B325" s="104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>
      <c r="A326" s="68"/>
      <c r="B326" s="104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>
      <c r="A327" s="68"/>
      <c r="B327" s="104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>
      <c r="A328" s="68"/>
      <c r="B328" s="104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>
      <c r="A329" s="68"/>
      <c r="B329" s="104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>
      <c r="A330" s="68"/>
      <c r="B330" s="104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>
      <c r="A331" s="68"/>
      <c r="B331" s="104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>
      <c r="A332" s="68"/>
      <c r="B332" s="104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>
      <c r="A333" s="68"/>
      <c r="B333" s="104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>
      <c r="A334" s="68"/>
      <c r="B334" s="104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>
      <c r="A335" s="68"/>
      <c r="B335" s="104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>
      <c r="A336" s="68"/>
      <c r="B336" s="104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>
      <c r="A337" s="68"/>
      <c r="B337" s="104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>
      <c r="A338" s="68"/>
      <c r="B338" s="104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>
      <c r="A339" s="68"/>
      <c r="B339" s="104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>
      <c r="A340" s="68"/>
      <c r="B340" s="104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>
      <c r="A341" s="68"/>
      <c r="B341" s="104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>
      <c r="A342" s="68"/>
      <c r="B342" s="104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>
      <c r="A343" s="68"/>
      <c r="B343" s="104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>
      <c r="A344" s="68"/>
      <c r="B344" s="104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>
      <c r="A345" s="68"/>
      <c r="B345" s="104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>
      <c r="A346" s="68"/>
      <c r="B346" s="104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>
      <c r="A347" s="68"/>
      <c r="B347" s="104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>
      <c r="A348" s="68"/>
      <c r="B348" s="104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>
      <c r="A349" s="68"/>
      <c r="B349" s="104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>
      <c r="A350" s="68"/>
      <c r="B350" s="104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>
      <c r="A351" s="68"/>
      <c r="B351" s="104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>
      <c r="A352" s="68"/>
      <c r="B352" s="104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>
      <c r="A353" s="68"/>
      <c r="B353" s="104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>
      <c r="A354" s="68"/>
      <c r="B354" s="104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>
      <c r="A355" s="68"/>
      <c r="B355" s="104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>
      <c r="A356" s="68"/>
      <c r="B356" s="104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>
      <c r="A357" s="68"/>
      <c r="B357" s="104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>
      <c r="A358" s="68"/>
      <c r="B358" s="104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>
      <c r="A359" s="68"/>
      <c r="B359" s="104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>
      <c r="A360" s="68"/>
      <c r="B360" s="104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>
      <c r="A361" s="68"/>
      <c r="B361" s="104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>
      <c r="A362" s="68"/>
      <c r="B362" s="104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>
      <c r="A363" s="68"/>
      <c r="B363" s="104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>
      <c r="A364" s="68"/>
      <c r="B364" s="104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>
      <c r="A365" s="68"/>
      <c r="B365" s="104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>
      <c r="A366" s="68"/>
      <c r="B366" s="104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>
      <c r="A367" s="68"/>
      <c r="B367" s="104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>
      <c r="A368" s="68"/>
      <c r="B368" s="104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>
      <c r="A369" s="68"/>
      <c r="B369" s="104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>
      <c r="A370" s="68"/>
      <c r="B370" s="104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>
      <c r="A371" s="68"/>
      <c r="B371" s="104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>
      <c r="A372" s="68"/>
      <c r="B372" s="104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>
      <c r="A373" s="68"/>
      <c r="B373" s="104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>
      <c r="A374" s="68"/>
      <c r="B374" s="104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>
      <c r="A375" s="68"/>
      <c r="B375" s="104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>
      <c r="A376" s="68"/>
      <c r="B376" s="104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>
      <c r="A377" s="68"/>
      <c r="B377" s="104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>
      <c r="A378" s="68"/>
      <c r="B378" s="104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>
      <c r="A379" s="68"/>
      <c r="B379" s="104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>
      <c r="A380" s="68"/>
      <c r="B380" s="104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>
      <c r="A381" s="68"/>
      <c r="B381" s="104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>
      <c r="A382" s="68"/>
      <c r="B382" s="104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>
      <c r="A383" s="68"/>
      <c r="B383" s="104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>
      <c r="A384" s="68"/>
      <c r="B384" s="104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>
      <c r="A385" s="68"/>
      <c r="B385" s="104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>
      <c r="A386" s="68"/>
      <c r="B386" s="104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>
      <c r="A387" s="68"/>
      <c r="B387" s="104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>
      <c r="A388" s="68"/>
      <c r="B388" s="104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>
      <c r="A389" s="68"/>
      <c r="B389" s="104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>
      <c r="A390" s="68"/>
      <c r="B390" s="104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>
      <c r="A391" s="68"/>
      <c r="B391" s="104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>
      <c r="A392" s="68"/>
      <c r="B392" s="104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>
      <c r="A393" s="68"/>
      <c r="B393" s="104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>
      <c r="A394" s="68"/>
      <c r="B394" s="104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>
      <c r="A395" s="68"/>
      <c r="B395" s="104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>
      <c r="A396" s="68"/>
      <c r="B396" s="104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>
      <c r="A397" s="68"/>
      <c r="B397" s="104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>
      <c r="A398" s="68"/>
      <c r="B398" s="104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>
      <c r="A399" s="68"/>
      <c r="B399" s="104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>
      <c r="A400" s="68"/>
      <c r="B400" s="104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>
      <c r="A401" s="68"/>
      <c r="B401" s="104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>
      <c r="A402" s="68"/>
      <c r="B402" s="104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>
      <c r="A403" s="68"/>
      <c r="B403" s="104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>
      <c r="A404" s="68"/>
      <c r="B404" s="104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>
      <c r="A405" s="68"/>
      <c r="B405" s="104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>
      <c r="A406" s="68"/>
      <c r="B406" s="104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>
      <c r="A407" s="68"/>
      <c r="B407" s="104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>
      <c r="A408" s="68"/>
      <c r="B408" s="104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>
      <c r="A409" s="68"/>
      <c r="B409" s="104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>
      <c r="A410" s="68"/>
      <c r="B410" s="104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>
      <c r="A411" s="68"/>
      <c r="B411" s="104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>
      <c r="A412" s="68"/>
      <c r="B412" s="104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>
      <c r="A413" s="68"/>
      <c r="B413" s="104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>
      <c r="A414" s="68"/>
      <c r="B414" s="104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>
      <c r="A415" s="68"/>
      <c r="B415" s="104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>
      <c r="A416" s="68"/>
      <c r="B416" s="104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>
      <c r="A417" s="68"/>
      <c r="B417" s="104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>
      <c r="A418" s="68"/>
      <c r="B418" s="104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>
      <c r="A419" s="68"/>
      <c r="B419" s="104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>
      <c r="A420" s="68"/>
      <c r="B420" s="104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>
      <c r="A421" s="68"/>
      <c r="B421" s="104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>
      <c r="A422" s="68"/>
      <c r="B422" s="104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>
      <c r="A423" s="68"/>
      <c r="B423" s="104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>
      <c r="A424" s="68"/>
      <c r="B424" s="104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>
      <c r="A425" s="68"/>
      <c r="B425" s="104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>
      <c r="A426" s="68"/>
      <c r="B426" s="104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>
      <c r="A427" s="68"/>
      <c r="B427" s="104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>
      <c r="A428" s="68"/>
      <c r="B428" s="104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>
      <c r="A429" s="68"/>
      <c r="B429" s="104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>
      <c r="A430" s="68"/>
      <c r="B430" s="104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>
      <c r="A431" s="68"/>
      <c r="B431" s="104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>
      <c r="A432" s="68"/>
      <c r="B432" s="104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>
      <c r="A433" s="68"/>
      <c r="B433" s="104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>
      <c r="A434" s="68"/>
      <c r="B434" s="104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>
      <c r="A435" s="68"/>
      <c r="B435" s="104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>
      <c r="A436" s="68"/>
      <c r="B436" s="104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>
      <c r="A437" s="68"/>
      <c r="B437" s="104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>
      <c r="A438" s="68"/>
      <c r="B438" s="104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>
      <c r="A439" s="68"/>
      <c r="B439" s="104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>
      <c r="A440" s="68"/>
      <c r="B440" s="104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>
      <c r="A441" s="68"/>
      <c r="B441" s="104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>
      <c r="A442" s="68"/>
      <c r="B442" s="104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>
      <c r="A443" s="68"/>
      <c r="B443" s="104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>
      <c r="A444" s="68"/>
      <c r="B444" s="104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>
      <c r="A445" s="68"/>
      <c r="B445" s="104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>
      <c r="A446" s="68"/>
      <c r="B446" s="104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>
      <c r="A447" s="68"/>
      <c r="B447" s="104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>
      <c r="A448" s="68"/>
      <c r="B448" s="104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>
      <c r="A449" s="68"/>
      <c r="B449" s="104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>
      <c r="A450" s="68"/>
      <c r="B450" s="104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>
      <c r="A451" s="68"/>
      <c r="B451" s="104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>
      <c r="A452" s="68"/>
      <c r="B452" s="104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>
      <c r="A453" s="68"/>
      <c r="B453" s="104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>
      <c r="A454" s="68"/>
      <c r="B454" s="104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>
      <c r="A455" s="68"/>
      <c r="B455" s="104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>
      <c r="A456" s="68"/>
      <c r="B456" s="104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>
      <c r="A457" s="68"/>
      <c r="B457" s="104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>
      <c r="A458" s="68"/>
      <c r="B458" s="104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>
      <c r="A459" s="68"/>
      <c r="B459" s="104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>
      <c r="A460" s="68"/>
      <c r="B460" s="104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>
      <c r="A461" s="68"/>
      <c r="B461" s="104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>
      <c r="A462" s="68"/>
      <c r="B462" s="104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>
      <c r="A463" s="68"/>
      <c r="B463" s="104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>
      <c r="A464" s="68"/>
      <c r="B464" s="104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>
      <c r="A465" s="68"/>
      <c r="B465" s="104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>
      <c r="A466" s="68"/>
      <c r="B466" s="104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>
      <c r="A467" s="68"/>
      <c r="B467" s="104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>
      <c r="A468" s="68"/>
      <c r="B468" s="104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>
      <c r="A469" s="68"/>
      <c r="B469" s="104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>
      <c r="A470" s="68"/>
      <c r="B470" s="104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>
      <c r="A471" s="68"/>
      <c r="B471" s="104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>
      <c r="A472" s="68"/>
      <c r="B472" s="104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>
      <c r="A473" s="68"/>
      <c r="B473" s="104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>
      <c r="A474" s="68"/>
      <c r="B474" s="104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>
      <c r="A475" s="68"/>
      <c r="B475" s="104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>
      <c r="A476" s="68"/>
      <c r="B476" s="104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>
      <c r="A477" s="68"/>
      <c r="B477" s="104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>
      <c r="A478" s="68"/>
      <c r="B478" s="104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>
      <c r="A479" s="68"/>
      <c r="B479" s="104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>
      <c r="A480" s="68"/>
      <c r="B480" s="104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>
      <c r="A481" s="68"/>
      <c r="B481" s="104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>
      <c r="A482" s="68"/>
      <c r="B482" s="104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>
      <c r="A483" s="68"/>
      <c r="B483" s="104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>
      <c r="A484" s="68"/>
      <c r="B484" s="104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>
      <c r="A485" s="68"/>
      <c r="B485" s="104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>
      <c r="A486" s="68"/>
      <c r="B486" s="104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>
      <c r="A487" s="68"/>
      <c r="B487" s="104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>
      <c r="A488" s="68"/>
      <c r="B488" s="104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>
      <c r="A489" s="68"/>
      <c r="B489" s="104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>
      <c r="A490" s="68"/>
      <c r="B490" s="104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>
      <c r="A491" s="68"/>
      <c r="B491" s="104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>
      <c r="A492" s="68"/>
      <c r="B492" s="104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>
      <c r="A493" s="68"/>
      <c r="B493" s="104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>
      <c r="A494" s="68"/>
      <c r="B494" s="104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>
      <c r="A495" s="68"/>
      <c r="B495" s="104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>
      <c r="A496" s="68"/>
      <c r="B496" s="104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>
      <c r="A497" s="68"/>
      <c r="B497" s="104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>
      <c r="A498" s="68"/>
      <c r="B498" s="104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>
      <c r="A499" s="68"/>
      <c r="B499" s="104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>
      <c r="A500" s="68"/>
      <c r="B500" s="104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>
      <c r="A501" s="68"/>
      <c r="B501" s="104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>
      <c r="A502" s="68"/>
      <c r="B502" s="104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>
      <c r="A503" s="68"/>
      <c r="B503" s="104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>
      <c r="A504" s="68"/>
      <c r="B504" s="104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>
      <c r="A505" s="68"/>
      <c r="B505" s="104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>
      <c r="A506" s="68"/>
      <c r="B506" s="104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>
      <c r="A507" s="68"/>
      <c r="B507" s="104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>
      <c r="A508" s="68"/>
      <c r="B508" s="104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>
      <c r="A509" s="68"/>
      <c r="B509" s="104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>
      <c r="A510" s="68"/>
      <c r="B510" s="104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>
      <c r="A511" s="68"/>
      <c r="B511" s="104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>
      <c r="A512" s="68"/>
      <c r="B512" s="104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>
      <c r="A513" s="68"/>
      <c r="B513" s="104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>
      <c r="A514" s="68"/>
      <c r="B514" s="104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>
      <c r="A515" s="68"/>
      <c r="B515" s="104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>
      <c r="A516" s="68"/>
      <c r="B516" s="104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>
      <c r="A517" s="68"/>
      <c r="B517" s="104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>
      <c r="A518" s="68"/>
      <c r="B518" s="104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>
      <c r="A519" s="68"/>
      <c r="B519" s="104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>
      <c r="A520" s="68"/>
      <c r="B520" s="104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>
      <c r="A521" s="68"/>
      <c r="B521" s="104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>
      <c r="A522" s="68"/>
      <c r="B522" s="104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>
      <c r="A523" s="68"/>
      <c r="B523" s="104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>
      <c r="A524" s="68"/>
      <c r="B524" s="104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>
      <c r="A525" s="68"/>
      <c r="B525" s="104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>
      <c r="A526" s="68"/>
      <c r="B526" s="104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>
      <c r="A527" s="68"/>
      <c r="B527" s="104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>
      <c r="A528" s="68"/>
      <c r="B528" s="104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>
      <c r="A529" s="68"/>
      <c r="B529" s="104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>
      <c r="A530" s="68"/>
      <c r="B530" s="104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>
      <c r="A531" s="68"/>
      <c r="B531" s="104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>
      <c r="A532" s="68"/>
      <c r="B532" s="104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>
      <c r="A533" s="68"/>
      <c r="B533" s="104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>
      <c r="A534" s="68"/>
      <c r="B534" s="104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>
      <c r="A535" s="68"/>
      <c r="B535" s="104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>
      <c r="A536" s="68"/>
      <c r="B536" s="104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>
      <c r="A537" s="68"/>
      <c r="B537" s="104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>
      <c r="A538" s="68"/>
      <c r="B538" s="104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>
      <c r="A539" s="68"/>
      <c r="B539" s="104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>
      <c r="A540" s="68"/>
      <c r="B540" s="104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>
      <c r="A541" s="68"/>
      <c r="B541" s="104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>
      <c r="A542" s="68"/>
      <c r="B542" s="104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>
      <c r="A543" s="68"/>
      <c r="B543" s="104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>
      <c r="A544" s="68"/>
      <c r="B544" s="104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>
      <c r="A545" s="68"/>
      <c r="B545" s="104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>
      <c r="A546" s="68"/>
      <c r="B546" s="104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>
      <c r="A547" s="68"/>
      <c r="B547" s="104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>
      <c r="A548" s="68"/>
      <c r="B548" s="104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>
      <c r="A549" s="68"/>
      <c r="B549" s="104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>
      <c r="A550" s="68"/>
      <c r="B550" s="104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>
      <c r="A551" s="68"/>
      <c r="B551" s="104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>
      <c r="A552" s="68"/>
      <c r="B552" s="104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>
      <c r="A553" s="68"/>
      <c r="B553" s="104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>
      <c r="A554" s="68"/>
      <c r="B554" s="104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>
      <c r="A555" s="68"/>
      <c r="B555" s="104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>
      <c r="A556" s="68"/>
      <c r="B556" s="104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>
      <c r="A557" s="68"/>
      <c r="B557" s="104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>
      <c r="A558" s="68"/>
      <c r="B558" s="104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>
      <c r="A559" s="68"/>
      <c r="B559" s="104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>
      <c r="A560" s="68"/>
      <c r="B560" s="104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>
      <c r="A561" s="68"/>
      <c r="B561" s="104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>
      <c r="A562" s="68"/>
      <c r="B562" s="104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>
      <c r="A563" s="68"/>
      <c r="B563" s="104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>
      <c r="A564" s="68"/>
      <c r="B564" s="104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>
      <c r="A565" s="68"/>
      <c r="B565" s="104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>
      <c r="A566" s="68"/>
      <c r="B566" s="104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>
      <c r="A567" s="68"/>
      <c r="B567" s="104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>
      <c r="A568" s="68"/>
      <c r="B568" s="104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>
      <c r="A569" s="68"/>
      <c r="B569" s="104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>
      <c r="A570" s="68"/>
      <c r="B570" s="104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>
      <c r="A571" s="68"/>
      <c r="B571" s="104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>
      <c r="A572" s="68"/>
      <c r="B572" s="104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>
      <c r="A573" s="68"/>
      <c r="B573" s="104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>
      <c r="A574" s="68"/>
      <c r="B574" s="104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>
      <c r="A575" s="68"/>
      <c r="B575" s="104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>
      <c r="A576" s="68"/>
      <c r="B576" s="104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>
      <c r="A577" s="68"/>
      <c r="B577" s="104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>
      <c r="A578" s="68"/>
      <c r="B578" s="104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>
      <c r="A579" s="68"/>
      <c r="B579" s="104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>
      <c r="A580" s="68"/>
      <c r="B580" s="104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>
      <c r="A581" s="68"/>
      <c r="B581" s="104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>
      <c r="A582" s="68"/>
      <c r="B582" s="104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>
      <c r="A583" s="68"/>
      <c r="B583" s="104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>
      <c r="A584" s="68"/>
      <c r="B584" s="104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>
      <c r="A585" s="68"/>
      <c r="B585" s="104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>
      <c r="A586" s="68"/>
      <c r="B586" s="104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>
      <c r="A587" s="68"/>
      <c r="B587" s="104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>
      <c r="A588" s="68"/>
      <c r="B588" s="104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>
      <c r="A589" s="68"/>
      <c r="B589" s="104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>
      <c r="A590" s="68"/>
      <c r="B590" s="104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>
      <c r="A591" s="68"/>
      <c r="B591" s="104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>
      <c r="A592" s="68"/>
      <c r="B592" s="104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>
      <c r="A593" s="68"/>
      <c r="B593" s="104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>
      <c r="A594" s="68"/>
      <c r="B594" s="104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>
      <c r="A595" s="68"/>
      <c r="B595" s="104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>
      <c r="A596" s="68"/>
      <c r="B596" s="104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>
      <c r="A597" s="68"/>
      <c r="B597" s="104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>
      <c r="A598" s="68"/>
      <c r="B598" s="104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>
      <c r="A599" s="68"/>
      <c r="B599" s="104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>
      <c r="A600" s="68"/>
      <c r="B600" s="104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>
      <c r="A601" s="68"/>
      <c r="B601" s="104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>
      <c r="A602" s="68"/>
      <c r="B602" s="104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>
      <c r="A603" s="68"/>
      <c r="B603" s="104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>
      <c r="A604" s="68"/>
      <c r="B604" s="104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>
      <c r="A605" s="68"/>
      <c r="B605" s="104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>
      <c r="A606" s="68"/>
      <c r="B606" s="104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>
      <c r="A607" s="68"/>
      <c r="B607" s="104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>
      <c r="A608" s="68"/>
      <c r="B608" s="104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>
      <c r="A609" s="68"/>
      <c r="B609" s="104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>
      <c r="A610" s="68"/>
      <c r="B610" s="104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>
      <c r="A611" s="68"/>
      <c r="B611" s="104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>
      <c r="A612" s="68"/>
      <c r="B612" s="104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>
      <c r="A613" s="68"/>
      <c r="B613" s="104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>
      <c r="A614" s="68"/>
      <c r="B614" s="104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>
      <c r="A615" s="68"/>
      <c r="B615" s="104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>
      <c r="A616" s="68"/>
      <c r="B616" s="104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>
      <c r="A617" s="68"/>
      <c r="B617" s="104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>
      <c r="A618" s="68"/>
      <c r="B618" s="104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>
      <c r="A619" s="68"/>
      <c r="B619" s="104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>
      <c r="A620" s="68"/>
      <c r="B620" s="104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>
      <c r="A621" s="68"/>
      <c r="B621" s="104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>
      <c r="A622" s="68"/>
      <c r="B622" s="104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>
      <c r="A623" s="68"/>
      <c r="B623" s="104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>
      <c r="A624" s="68"/>
      <c r="B624" s="104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>
      <c r="A625" s="68"/>
      <c r="B625" s="104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>
      <c r="A626" s="68"/>
      <c r="B626" s="104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>
      <c r="A627" s="68"/>
      <c r="B627" s="104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>
      <c r="A628" s="68"/>
      <c r="B628" s="104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>
      <c r="A629" s="68"/>
      <c r="B629" s="104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>
      <c r="A630" s="68"/>
      <c r="B630" s="104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>
      <c r="A631" s="68"/>
      <c r="B631" s="104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>
      <c r="A632" s="68"/>
      <c r="B632" s="104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>
      <c r="A633" s="68"/>
      <c r="B633" s="104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>
      <c r="A634" s="68"/>
      <c r="B634" s="104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>
      <c r="A635" s="68"/>
      <c r="B635" s="104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>
      <c r="A636" s="68"/>
      <c r="B636" s="104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>
      <c r="A637" s="68"/>
      <c r="B637" s="104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>
      <c r="A638" s="68"/>
      <c r="B638" s="104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>
      <c r="A639" s="68"/>
      <c r="B639" s="104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>
      <c r="A640" s="68"/>
      <c r="B640" s="104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>
      <c r="A641" s="68"/>
      <c r="B641" s="104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>
      <c r="A642" s="68"/>
      <c r="B642" s="104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>
      <c r="A643" s="68"/>
      <c r="B643" s="104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>
      <c r="A644" s="68"/>
      <c r="B644" s="104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>
      <c r="A645" s="68"/>
      <c r="B645" s="104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>
      <c r="A646" s="68"/>
      <c r="B646" s="104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>
      <c r="A647" s="68"/>
      <c r="B647" s="104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>
      <c r="A648" s="68"/>
      <c r="B648" s="104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>
      <c r="A649" s="68"/>
      <c r="B649" s="104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>
      <c r="A650" s="68"/>
      <c r="B650" s="104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>
      <c r="A651" s="68"/>
      <c r="B651" s="104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>
      <c r="A652" s="68"/>
      <c r="B652" s="104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>
      <c r="A653" s="68"/>
      <c r="B653" s="104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>
      <c r="A654" s="68"/>
      <c r="B654" s="104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>
      <c r="A655" s="68"/>
      <c r="B655" s="104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>
      <c r="A656" s="68"/>
      <c r="B656" s="104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>
      <c r="A657" s="68"/>
      <c r="B657" s="104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>
      <c r="A658" s="68"/>
      <c r="B658" s="104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>
      <c r="A659" s="68"/>
      <c r="B659" s="104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>
      <c r="A660" s="68"/>
      <c r="B660" s="104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>
      <c r="A661" s="68"/>
      <c r="B661" s="104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>
      <c r="A662" s="68"/>
      <c r="B662" s="104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>
      <c r="A663" s="68"/>
      <c r="B663" s="104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>
      <c r="A664" s="68"/>
      <c r="B664" s="104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>
      <c r="A665" s="68"/>
      <c r="B665" s="104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>
      <c r="A666" s="68"/>
      <c r="B666" s="104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>
      <c r="A667" s="68"/>
      <c r="B667" s="104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>
      <c r="A668" s="68"/>
      <c r="B668" s="104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>
      <c r="A669" s="68"/>
      <c r="B669" s="104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>
      <c r="A670" s="68"/>
      <c r="B670" s="104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>
      <c r="A671" s="68"/>
      <c r="B671" s="104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>
      <c r="A672" s="68"/>
      <c r="B672" s="104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>
      <c r="A673" s="68"/>
      <c r="B673" s="104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>
      <c r="A674" s="68"/>
      <c r="B674" s="104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>
      <c r="A675" s="68"/>
      <c r="B675" s="104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>
      <c r="A676" s="68"/>
      <c r="B676" s="104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>
      <c r="A677" s="68"/>
      <c r="B677" s="104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>
      <c r="A678" s="68"/>
      <c r="B678" s="104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>
      <c r="A679" s="68"/>
      <c r="B679" s="104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>
      <c r="A680" s="68"/>
      <c r="B680" s="104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>
      <c r="A681" s="68"/>
      <c r="B681" s="104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>
      <c r="A682" s="68"/>
      <c r="B682" s="104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>
      <c r="A683" s="68"/>
      <c r="B683" s="104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>
      <c r="A684" s="68"/>
      <c r="B684" s="104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>
      <c r="A685" s="68"/>
      <c r="B685" s="104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>
      <c r="A686" s="68"/>
      <c r="B686" s="104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>
      <c r="A687" s="68"/>
      <c r="B687" s="104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>
      <c r="A688" s="68"/>
      <c r="B688" s="104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>
      <c r="A689" s="68"/>
      <c r="B689" s="104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>
      <c r="A690" s="68"/>
      <c r="B690" s="104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>
      <c r="A691" s="68"/>
      <c r="B691" s="104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>
      <c r="A692" s="68"/>
      <c r="B692" s="104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>
      <c r="A693" s="68"/>
      <c r="B693" s="104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>
      <c r="A694" s="68"/>
      <c r="B694" s="104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>
      <c r="A695" s="68"/>
      <c r="B695" s="104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>
      <c r="A696" s="68"/>
      <c r="B696" s="104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>
      <c r="A697" s="68"/>
      <c r="B697" s="104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>
      <c r="A698" s="68"/>
      <c r="B698" s="104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>
      <c r="A699" s="68"/>
      <c r="B699" s="104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>
      <c r="A700" s="68"/>
      <c r="B700" s="104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>
      <c r="A701" s="68"/>
      <c r="B701" s="104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>
      <c r="A702" s="68"/>
      <c r="B702" s="104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>
      <c r="A703" s="68"/>
      <c r="B703" s="104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>
      <c r="A704" s="68"/>
      <c r="B704" s="104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>
      <c r="A705" s="68"/>
      <c r="B705" s="104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>
      <c r="A706" s="68"/>
      <c r="B706" s="104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>
      <c r="A707" s="68"/>
      <c r="B707" s="104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>
      <c r="A708" s="68"/>
      <c r="B708" s="104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>
      <c r="A709" s="68"/>
      <c r="B709" s="104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>
      <c r="A710" s="68"/>
      <c r="B710" s="104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>
      <c r="A711" s="68"/>
      <c r="B711" s="104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>
      <c r="A712" s="68"/>
      <c r="B712" s="104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>
      <c r="A713" s="68"/>
      <c r="B713" s="104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>
      <c r="A714" s="68"/>
      <c r="B714" s="104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>
      <c r="A715" s="68"/>
      <c r="B715" s="104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>
      <c r="A716" s="68"/>
      <c r="B716" s="104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>
      <c r="A717" s="68"/>
      <c r="B717" s="104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>
      <c r="A718" s="68"/>
      <c r="B718" s="104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>
      <c r="A719" s="68"/>
      <c r="B719" s="104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>
      <c r="A720" s="68"/>
      <c r="B720" s="104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>
      <c r="A721" s="68"/>
      <c r="B721" s="104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>
      <c r="A722" s="68"/>
      <c r="B722" s="104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>
      <c r="A723" s="68"/>
      <c r="B723" s="104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>
      <c r="A724" s="68"/>
      <c r="B724" s="104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>
      <c r="A725" s="68"/>
      <c r="B725" s="104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>
      <c r="A726" s="68"/>
      <c r="B726" s="104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>
      <c r="A727" s="68"/>
      <c r="B727" s="104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>
      <c r="A728" s="68"/>
      <c r="B728" s="104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>
      <c r="A729" s="68"/>
      <c r="B729" s="104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>
      <c r="A730" s="68"/>
      <c r="B730" s="104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>
      <c r="A731" s="68"/>
      <c r="B731" s="104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>
      <c r="A732" s="68"/>
      <c r="B732" s="104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>
      <c r="A733" s="68"/>
      <c r="B733" s="104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>
      <c r="A734" s="68"/>
      <c r="B734" s="104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>
      <c r="A735" s="68"/>
      <c r="B735" s="104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>
      <c r="A736" s="68"/>
      <c r="B736" s="104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>
      <c r="A737" s="68"/>
      <c r="B737" s="104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>
      <c r="A738" s="68"/>
      <c r="B738" s="104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>
      <c r="A739" s="68"/>
      <c r="B739" s="104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>
      <c r="A740" s="68"/>
      <c r="B740" s="104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>
      <c r="A741" s="68"/>
      <c r="B741" s="104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>
      <c r="A742" s="68"/>
      <c r="B742" s="104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>
      <c r="A743" s="68"/>
      <c r="B743" s="104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>
      <c r="A744" s="68"/>
      <c r="B744" s="104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>
      <c r="A745" s="68"/>
      <c r="B745" s="104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>
      <c r="A746" s="68"/>
      <c r="B746" s="104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>
      <c r="A747" s="68"/>
      <c r="B747" s="104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>
      <c r="A748" s="68"/>
      <c r="B748" s="104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>
      <c r="A749" s="68"/>
      <c r="B749" s="104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>
      <c r="A750" s="68"/>
      <c r="B750" s="104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>
      <c r="A751" s="68"/>
      <c r="B751" s="104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>
      <c r="A752" s="68"/>
      <c r="B752" s="104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>
      <c r="A753" s="68"/>
      <c r="B753" s="104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>
      <c r="A754" s="68"/>
      <c r="B754" s="104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>
      <c r="A755" s="68"/>
      <c r="B755" s="104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>
      <c r="A756" s="68"/>
      <c r="B756" s="104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>
      <c r="A757" s="68"/>
      <c r="B757" s="104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>
      <c r="A758" s="68"/>
      <c r="B758" s="104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>
      <c r="A759" s="68"/>
      <c r="B759" s="104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>
      <c r="A760" s="68"/>
      <c r="B760" s="104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>
      <c r="A761" s="68"/>
      <c r="B761" s="104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>
      <c r="A762" s="68"/>
      <c r="B762" s="104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>
      <c r="A763" s="68"/>
      <c r="B763" s="104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>
      <c r="A764" s="68"/>
      <c r="B764" s="104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>
      <c r="A765" s="68"/>
      <c r="B765" s="104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>
      <c r="A766" s="68"/>
      <c r="B766" s="104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>
      <c r="A767" s="68"/>
      <c r="B767" s="104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>
      <c r="A768" s="68"/>
      <c r="B768" s="104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>
      <c r="A769" s="68"/>
      <c r="B769" s="104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>
      <c r="A770" s="68"/>
      <c r="B770" s="104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>
      <c r="A771" s="68"/>
      <c r="B771" s="104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>
      <c r="A772" s="68"/>
      <c r="B772" s="104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>
      <c r="A773" s="68"/>
      <c r="B773" s="104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>
      <c r="A774" s="68"/>
      <c r="B774" s="104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>
      <c r="A775" s="68"/>
      <c r="B775" s="104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>
      <c r="A776" s="68"/>
      <c r="B776" s="104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>
      <c r="A777" s="68"/>
      <c r="B777" s="104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>
      <c r="A778" s="68"/>
      <c r="B778" s="104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>
      <c r="A779" s="68"/>
      <c r="B779" s="104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>
      <c r="A780" s="68"/>
      <c r="B780" s="104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>
      <c r="A781" s="68"/>
      <c r="B781" s="104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>
      <c r="A782" s="68"/>
      <c r="B782" s="104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>
      <c r="A783" s="68"/>
      <c r="B783" s="104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>
      <c r="A784" s="68"/>
      <c r="B784" s="104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>
      <c r="A785" s="68"/>
      <c r="B785" s="104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>
      <c r="A786" s="68"/>
      <c r="B786" s="104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>
      <c r="A787" s="68"/>
      <c r="B787" s="104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>
      <c r="A788" s="68"/>
      <c r="B788" s="104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>
      <c r="A789" s="68"/>
      <c r="B789" s="104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>
      <c r="A790" s="68"/>
      <c r="B790" s="104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>
      <c r="A791" s="68"/>
      <c r="B791" s="104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>
      <c r="A792" s="68"/>
      <c r="B792" s="104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>
      <c r="A793" s="68"/>
      <c r="B793" s="104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>
      <c r="A794" s="68"/>
      <c r="B794" s="104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>
      <c r="A795" s="68"/>
      <c r="B795" s="104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>
      <c r="A796" s="68"/>
      <c r="B796" s="104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>
      <c r="A797" s="68"/>
      <c r="B797" s="104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>
      <c r="A798" s="68"/>
      <c r="B798" s="104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>
      <c r="A799" s="68"/>
      <c r="B799" s="104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>
      <c r="A800" s="68"/>
      <c r="B800" s="104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>
      <c r="A801" s="68"/>
      <c r="B801" s="104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>
      <c r="A802" s="68"/>
      <c r="B802" s="104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>
      <c r="A803" s="68"/>
      <c r="B803" s="104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>
      <c r="A804" s="68"/>
      <c r="B804" s="104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>
      <c r="A805" s="68"/>
      <c r="B805" s="104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>
      <c r="A806" s="68"/>
      <c r="B806" s="104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>
      <c r="A807" s="68"/>
      <c r="B807" s="104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>
      <c r="A808" s="68"/>
      <c r="B808" s="104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>
      <c r="A809" s="68"/>
      <c r="B809" s="104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>
      <c r="A810" s="68"/>
      <c r="B810" s="104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>
      <c r="A811" s="68"/>
      <c r="B811" s="104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>
      <c r="A812" s="68"/>
      <c r="B812" s="104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>
      <c r="A813" s="68"/>
      <c r="B813" s="104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>
      <c r="A814" s="68"/>
      <c r="B814" s="104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>
      <c r="A815" s="68"/>
      <c r="B815" s="104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>
      <c r="A816" s="68"/>
      <c r="B816" s="104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>
      <c r="A817" s="68"/>
      <c r="B817" s="104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>
      <c r="A818" s="68"/>
      <c r="B818" s="104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>
      <c r="A819" s="68"/>
      <c r="B819" s="104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>
      <c r="A820" s="68"/>
      <c r="B820" s="104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>
      <c r="A821" s="68"/>
      <c r="B821" s="104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>
      <c r="A822" s="68"/>
      <c r="B822" s="104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>
      <c r="A823" s="68"/>
      <c r="B823" s="104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>
      <c r="A824" s="68"/>
      <c r="B824" s="104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>
      <c r="A825" s="68"/>
      <c r="B825" s="104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>
      <c r="A826" s="68"/>
      <c r="B826" s="104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>
      <c r="A827" s="68"/>
      <c r="B827" s="104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>
      <c r="A828" s="68"/>
      <c r="B828" s="104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>
      <c r="A829" s="68"/>
      <c r="B829" s="104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>
      <c r="A830" s="68"/>
      <c r="B830" s="104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>
      <c r="A831" s="68"/>
      <c r="B831" s="104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>
      <c r="A832" s="68"/>
      <c r="B832" s="104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>
      <c r="A833" s="68"/>
      <c r="B833" s="104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>
      <c r="A834" s="68"/>
      <c r="B834" s="104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>
      <c r="A835" s="68"/>
      <c r="B835" s="104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>
      <c r="A836" s="68"/>
      <c r="B836" s="104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>
      <c r="A837" s="68"/>
      <c r="B837" s="104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>
      <c r="A838" s="68"/>
      <c r="B838" s="104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>
      <c r="A839" s="68"/>
      <c r="B839" s="104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>
      <c r="A840" s="68"/>
      <c r="B840" s="104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>
      <c r="A841" s="68"/>
      <c r="B841" s="104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>
      <c r="A842" s="68"/>
      <c r="B842" s="104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>
      <c r="A843" s="68"/>
      <c r="B843" s="104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>
      <c r="A844" s="68"/>
      <c r="B844" s="104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>
      <c r="A845" s="68"/>
      <c r="B845" s="104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>
      <c r="A846" s="68"/>
      <c r="B846" s="104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>
      <c r="A847" s="68"/>
      <c r="B847" s="104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>
      <c r="A848" s="68"/>
      <c r="B848" s="104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>
      <c r="A849" s="68"/>
      <c r="B849" s="104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>
      <c r="A850" s="68"/>
      <c r="B850" s="104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>
      <c r="A851" s="68"/>
      <c r="B851" s="104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>
      <c r="A852" s="68"/>
      <c r="B852" s="104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>
      <c r="A853" s="68"/>
      <c r="B853" s="104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>
      <c r="A854" s="68"/>
      <c r="B854" s="104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>
      <c r="A855" s="68"/>
      <c r="B855" s="104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>
      <c r="A856" s="68"/>
      <c r="B856" s="104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>
      <c r="A857" s="68"/>
      <c r="B857" s="104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>
      <c r="A858" s="68"/>
      <c r="B858" s="104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>
      <c r="A859" s="68"/>
      <c r="B859" s="104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>
      <c r="A860" s="68"/>
      <c r="B860" s="104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>
      <c r="A861" s="68"/>
      <c r="B861" s="104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>
      <c r="A862" s="68"/>
      <c r="B862" s="104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>
      <c r="A863" s="68"/>
      <c r="B863" s="104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>
      <c r="A864" s="68"/>
      <c r="B864" s="104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>
      <c r="A865" s="68"/>
      <c r="B865" s="104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>
      <c r="A866" s="68"/>
      <c r="B866" s="104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>
      <c r="A867" s="68"/>
      <c r="B867" s="104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>
      <c r="A868" s="68"/>
      <c r="B868" s="104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>
      <c r="A869" s="68"/>
      <c r="B869" s="104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>
      <c r="A870" s="68"/>
      <c r="B870" s="104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>
      <c r="A871" s="68"/>
      <c r="B871" s="104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>
      <c r="A872" s="68"/>
      <c r="B872" s="104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>
      <c r="A873" s="68"/>
      <c r="B873" s="104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>
      <c r="A874" s="68"/>
      <c r="B874" s="104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>
      <c r="A875" s="68"/>
      <c r="B875" s="104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>
      <c r="A876" s="68"/>
      <c r="B876" s="104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>
      <c r="A877" s="68"/>
      <c r="B877" s="104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>
      <c r="A878" s="68"/>
      <c r="B878" s="104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>
      <c r="A879" s="68"/>
      <c r="B879" s="104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>
      <c r="A880" s="68"/>
      <c r="B880" s="104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>
      <c r="A881" s="68"/>
      <c r="B881" s="104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>
      <c r="A882" s="68"/>
      <c r="B882" s="104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>
      <c r="A883" s="68"/>
      <c r="B883" s="104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>
      <c r="A884" s="68"/>
      <c r="B884" s="104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>
      <c r="A885" s="68"/>
      <c r="B885" s="104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>
      <c r="A886" s="68"/>
      <c r="B886" s="104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>
      <c r="A887" s="68"/>
      <c r="B887" s="104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>
      <c r="A888" s="68"/>
      <c r="B888" s="104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>
      <c r="A889" s="68"/>
      <c r="B889" s="104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>
      <c r="A890" s="68"/>
      <c r="B890" s="104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>
      <c r="A891" s="68"/>
      <c r="B891" s="104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>
      <c r="A892" s="68"/>
      <c r="B892" s="104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>
      <c r="A893" s="68"/>
      <c r="B893" s="104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>
      <c r="A894" s="68"/>
      <c r="B894" s="104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>
      <c r="A895" s="68"/>
      <c r="B895" s="104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>
      <c r="A896" s="68"/>
      <c r="B896" s="104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>
      <c r="A897" s="68"/>
      <c r="B897" s="104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>
      <c r="A898" s="68"/>
      <c r="B898" s="104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>
      <c r="A899" s="68"/>
      <c r="B899" s="104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>
      <c r="A900" s="68"/>
      <c r="B900" s="104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>
      <c r="A901" s="68"/>
      <c r="B901" s="104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>
      <c r="A902" s="68"/>
      <c r="B902" s="104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>
      <c r="A903" s="68"/>
      <c r="B903" s="104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>
      <c r="A904" s="68"/>
      <c r="B904" s="104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>
      <c r="A905" s="68"/>
      <c r="B905" s="104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>
      <c r="A906" s="68"/>
      <c r="B906" s="104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>
      <c r="A907" s="68"/>
      <c r="B907" s="104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>
      <c r="A908" s="68"/>
      <c r="B908" s="104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>
      <c r="A909" s="68"/>
      <c r="B909" s="104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>
      <c r="A910" s="68"/>
      <c r="B910" s="104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>
      <c r="A911" s="68"/>
      <c r="B911" s="104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>
      <c r="A912" s="68"/>
      <c r="B912" s="104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>
      <c r="A913" s="68"/>
      <c r="B913" s="104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>
      <c r="A914" s="68"/>
      <c r="B914" s="104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>
      <c r="A915" s="68"/>
      <c r="B915" s="104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>
      <c r="A916" s="68"/>
      <c r="B916" s="104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>
      <c r="A917" s="68"/>
      <c r="B917" s="104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>
      <c r="A918" s="68"/>
      <c r="B918" s="104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>
      <c r="A919" s="68"/>
      <c r="B919" s="104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>
      <c r="A920" s="68"/>
      <c r="B920" s="104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>
      <c r="A921" s="68"/>
      <c r="B921" s="104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>
      <c r="A922" s="68"/>
      <c r="B922" s="104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>
      <c r="A923" s="68"/>
      <c r="B923" s="104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>
      <c r="A924" s="68"/>
      <c r="B924" s="104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>
      <c r="A925" s="68"/>
      <c r="B925" s="104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>
      <c r="A926" s="68"/>
      <c r="B926" s="104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>
      <c r="A927" s="68"/>
      <c r="B927" s="104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>
      <c r="A928" s="68"/>
      <c r="B928" s="104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>
      <c r="A929" s="68"/>
      <c r="B929" s="104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>
      <c r="A930" s="68"/>
      <c r="B930" s="104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>
      <c r="A931" s="68"/>
      <c r="B931" s="104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>
      <c r="A932" s="68"/>
      <c r="B932" s="104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>
      <c r="A933" s="68"/>
      <c r="B933" s="104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>
      <c r="A934" s="68"/>
      <c r="B934" s="104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>
      <c r="A935" s="68"/>
      <c r="B935" s="104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>
      <c r="A936" s="68"/>
      <c r="B936" s="104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>
      <c r="A937" s="68"/>
      <c r="B937" s="104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>
      <c r="A938" s="68"/>
      <c r="B938" s="104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>
      <c r="A939" s="68"/>
      <c r="B939" s="104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>
      <c r="A940" s="68"/>
      <c r="B940" s="104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>
      <c r="A941" s="68"/>
      <c r="B941" s="104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>
      <c r="A942" s="68"/>
      <c r="B942" s="104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>
      <c r="A943" s="68"/>
      <c r="B943" s="104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>
      <c r="A944" s="68"/>
      <c r="B944" s="104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>
      <c r="A945" s="68"/>
      <c r="B945" s="104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>
      <c r="A946" s="68"/>
      <c r="B946" s="104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>
      <c r="A947" s="68"/>
      <c r="B947" s="104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>
      <c r="A948" s="68"/>
      <c r="B948" s="104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>
      <c r="A949" s="68"/>
      <c r="B949" s="104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>
      <c r="A950" s="68"/>
      <c r="B950" s="104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>
      <c r="A951" s="68"/>
      <c r="B951" s="104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>
      <c r="A952" s="68"/>
      <c r="B952" s="104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>
      <c r="A953" s="68"/>
      <c r="B953" s="104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>
      <c r="A954" s="68"/>
      <c r="B954" s="104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>
      <c r="A955" s="68"/>
      <c r="B955" s="104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>
      <c r="A956" s="68"/>
      <c r="B956" s="104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>
      <c r="A957" s="68"/>
      <c r="B957" s="104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>
      <c r="A958" s="68"/>
      <c r="B958" s="104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>
      <c r="A959" s="68"/>
      <c r="B959" s="104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>
      <c r="A960" s="68"/>
      <c r="B960" s="104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>
      <c r="A961" s="68"/>
      <c r="B961" s="104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>
      <c r="A962" s="68"/>
      <c r="B962" s="104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>
      <c r="A963" s="68"/>
      <c r="B963" s="104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>
      <c r="A964" s="68"/>
      <c r="B964" s="104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>
      <c r="A965" s="68"/>
      <c r="B965" s="104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>
      <c r="A966" s="68"/>
      <c r="B966" s="104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>
      <c r="A967" s="68"/>
      <c r="B967" s="104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>
      <c r="A968" s="68"/>
      <c r="B968" s="104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>
      <c r="A969" s="68"/>
      <c r="B969" s="104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>
      <c r="A970" s="68"/>
      <c r="B970" s="104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>
      <c r="A971" s="68"/>
      <c r="B971" s="104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>
      <c r="A972" s="68"/>
      <c r="B972" s="104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>
      <c r="A973" s="68"/>
      <c r="B973" s="104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>
      <c r="A974" s="68"/>
      <c r="B974" s="104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>
      <c r="A975" s="68"/>
      <c r="B975" s="104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>
      <c r="A976" s="68"/>
      <c r="B976" s="104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>
      <c r="A977" s="68"/>
      <c r="B977" s="104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>
      <c r="A978" s="68"/>
      <c r="B978" s="104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>
      <c r="A979" s="68"/>
      <c r="B979" s="104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>
      <c r="A980" s="68"/>
      <c r="B980" s="104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>
      <c r="A981" s="68"/>
      <c r="B981" s="104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>
      <c r="A982" s="68"/>
      <c r="B982" s="104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>
      <c r="A983" s="68"/>
      <c r="B983" s="104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>
      <c r="A984" s="68"/>
      <c r="B984" s="104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>
      <c r="A985" s="68"/>
      <c r="B985" s="104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>
      <c r="A986" s="68"/>
      <c r="B986" s="104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>
      <c r="A987" s="68"/>
      <c r="B987" s="104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>
      <c r="A988" s="68"/>
      <c r="B988" s="104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>
      <c r="A989" s="68"/>
      <c r="B989" s="104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>
      <c r="A990" s="68"/>
      <c r="B990" s="104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>
      <c r="A991" s="68"/>
      <c r="B991" s="104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>
      <c r="A992" s="68"/>
      <c r="B992" s="104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>
      <c r="A993" s="68"/>
      <c r="B993" s="104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>
      <c r="A994" s="68"/>
      <c r="B994" s="104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  <row r="995">
      <c r="A995" s="68"/>
      <c r="B995" s="104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</row>
    <row r="996">
      <c r="A996" s="68"/>
      <c r="B996" s="104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</row>
    <row r="997">
      <c r="A997" s="68"/>
      <c r="B997" s="104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</row>
    <row r="998">
      <c r="A998" s="68"/>
      <c r="B998" s="104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</row>
    <row r="999">
      <c r="A999" s="68"/>
      <c r="B999" s="104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</row>
    <row r="1000">
      <c r="A1000" s="68"/>
      <c r="B1000" s="104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3" max="3" width="4.25"/>
    <col customWidth="1" min="6" max="6" width="3.75"/>
  </cols>
  <sheetData>
    <row r="1">
      <c r="A1" s="106" t="s">
        <v>65</v>
      </c>
    </row>
    <row r="2">
      <c r="A2" s="106" t="s">
        <v>66</v>
      </c>
      <c r="D2" s="106" t="s">
        <v>67</v>
      </c>
      <c r="G2" s="107" t="s">
        <v>65</v>
      </c>
    </row>
    <row r="3">
      <c r="A3" s="26" t="s">
        <v>29</v>
      </c>
      <c r="B3" s="27">
        <v>57.0</v>
      </c>
      <c r="D3" s="108" t="s">
        <v>29</v>
      </c>
      <c r="E3" s="27">
        <v>24.0</v>
      </c>
      <c r="G3" s="108" t="s">
        <v>29</v>
      </c>
      <c r="H3" s="27">
        <f t="shared" ref="H3:H5" si="1">B3+E3</f>
        <v>81</v>
      </c>
    </row>
    <row r="4">
      <c r="A4" s="30" t="s">
        <v>30</v>
      </c>
      <c r="B4" s="31">
        <v>66.0</v>
      </c>
      <c r="D4" s="109" t="s">
        <v>30</v>
      </c>
      <c r="E4" s="31">
        <v>16.0</v>
      </c>
      <c r="G4" s="109" t="s">
        <v>30</v>
      </c>
      <c r="H4" s="31">
        <f t="shared" si="1"/>
        <v>82</v>
      </c>
    </row>
    <row r="5">
      <c r="A5" s="110" t="s">
        <v>32</v>
      </c>
      <c r="B5" s="111">
        <v>123.0</v>
      </c>
      <c r="D5" s="112" t="s">
        <v>32</v>
      </c>
      <c r="E5" s="111">
        <v>40.0</v>
      </c>
      <c r="G5" s="112" t="s">
        <v>32</v>
      </c>
      <c r="H5" s="111">
        <f t="shared" si="1"/>
        <v>163</v>
      </c>
    </row>
    <row r="8">
      <c r="A8" s="113" t="s">
        <v>68</v>
      </c>
      <c r="B8" s="114"/>
      <c r="D8" s="113" t="s">
        <v>68</v>
      </c>
      <c r="E8" s="114"/>
      <c r="G8" s="113" t="s">
        <v>68</v>
      </c>
      <c r="H8" s="114"/>
    </row>
    <row r="9">
      <c r="A9" s="115">
        <f>'KPI DIAGRAM RUKOST'!C14</f>
        <v>2656800000</v>
      </c>
      <c r="B9" s="116"/>
      <c r="D9" s="117">
        <f>'KPI DIAGRAM APARTKOST'!C14</f>
        <v>864000000</v>
      </c>
      <c r="E9" s="116"/>
      <c r="G9" s="117">
        <f>A9+D9</f>
        <v>3520800000</v>
      </c>
      <c r="H9" s="116"/>
    </row>
    <row r="10">
      <c r="A10" s="118" t="s">
        <v>34</v>
      </c>
      <c r="B10" s="119">
        <f>'KPI DIAGRAM RUKOST'!A14</f>
        <v>0</v>
      </c>
      <c r="C10" s="120"/>
      <c r="D10" s="118" t="s">
        <v>34</v>
      </c>
      <c r="E10" s="119">
        <f>'KPI DIAGRAM APARTKOST'!A14</f>
        <v>0</v>
      </c>
      <c r="G10" s="118" t="s">
        <v>34</v>
      </c>
      <c r="H10" s="119">
        <f t="shared" ref="H10:H16" si="2">B10+E10</f>
        <v>0</v>
      </c>
    </row>
    <row r="11">
      <c r="A11" s="121" t="s">
        <v>37</v>
      </c>
      <c r="B11" s="122">
        <f>'KPI DIAGRAM RUKOST'!B14</f>
        <v>0</v>
      </c>
      <c r="C11" s="120"/>
      <c r="D11" s="121" t="s">
        <v>37</v>
      </c>
      <c r="E11" s="123">
        <f>'KPI DIAGRAM APARTKOST'!B14</f>
        <v>0</v>
      </c>
      <c r="G11" s="121" t="s">
        <v>37</v>
      </c>
      <c r="H11" s="123">
        <f t="shared" si="2"/>
        <v>0</v>
      </c>
    </row>
    <row r="12">
      <c r="A12" s="124" t="s">
        <v>36</v>
      </c>
      <c r="B12" s="67">
        <f>'KPI DIAGRAM RUKOST'!B15</f>
        <v>0</v>
      </c>
      <c r="C12" s="120"/>
      <c r="D12" s="124" t="s">
        <v>36</v>
      </c>
      <c r="E12" s="125">
        <f>'KPI DIAGRAM APARTKOST'!B15</f>
        <v>0</v>
      </c>
      <c r="G12" s="124" t="s">
        <v>36</v>
      </c>
      <c r="H12" s="125">
        <f t="shared" si="2"/>
        <v>0</v>
      </c>
    </row>
    <row r="13">
      <c r="A13" s="124" t="s">
        <v>41</v>
      </c>
      <c r="B13" s="67">
        <f>'KPI DIAGRAM RUKOST'!B16</f>
        <v>0</v>
      </c>
      <c r="C13" s="120"/>
      <c r="D13" s="124" t="s">
        <v>41</v>
      </c>
      <c r="E13" s="125">
        <f>'KPI DIAGRAM APARTKOST'!B16</f>
        <v>0</v>
      </c>
      <c r="G13" s="124" t="s">
        <v>41</v>
      </c>
      <c r="H13" s="125">
        <f t="shared" si="2"/>
        <v>0</v>
      </c>
    </row>
    <row r="14">
      <c r="A14" s="121" t="s">
        <v>43</v>
      </c>
      <c r="B14" s="71">
        <f>'KPI DIAGRAM RUKOST'!B17</f>
        <v>0</v>
      </c>
      <c r="C14" s="120"/>
      <c r="D14" s="121" t="s">
        <v>43</v>
      </c>
      <c r="E14" s="126">
        <f>'KPI DIAGRAM APARTKOST'!B17</f>
        <v>0</v>
      </c>
      <c r="G14" s="121" t="s">
        <v>43</v>
      </c>
      <c r="H14" s="126">
        <f t="shared" si="2"/>
        <v>0</v>
      </c>
    </row>
    <row r="15">
      <c r="A15" s="118" t="s">
        <v>41</v>
      </c>
      <c r="B15" s="73">
        <f>'KPI DIAGRAM RUKOST'!B18</f>
        <v>0</v>
      </c>
      <c r="D15" s="118" t="s">
        <v>41</v>
      </c>
      <c r="E15" s="127">
        <f>'KPI DIAGRAM APARTKOST'!B18</f>
        <v>0</v>
      </c>
      <c r="G15" s="118" t="s">
        <v>41</v>
      </c>
      <c r="H15" s="127">
        <f t="shared" si="2"/>
        <v>0</v>
      </c>
    </row>
    <row r="16">
      <c r="A16" s="121" t="s">
        <v>43</v>
      </c>
      <c r="B16" s="74">
        <f>'KPI DIAGRAM RUKOST'!B19</f>
        <v>0</v>
      </c>
      <c r="D16" s="121" t="s">
        <v>43</v>
      </c>
      <c r="E16" s="123">
        <f>'KPI DIAGRAM APARTKOST'!B19</f>
        <v>0</v>
      </c>
      <c r="G16" s="121" t="s">
        <v>43</v>
      </c>
      <c r="H16" s="123">
        <f t="shared" si="2"/>
        <v>0</v>
      </c>
    </row>
  </sheetData>
  <mergeCells count="7">
    <mergeCell ref="G2:H2"/>
    <mergeCell ref="A8:B8"/>
    <mergeCell ref="D8:E8"/>
    <mergeCell ref="G8:H8"/>
    <mergeCell ref="A9:B9"/>
    <mergeCell ref="D9:E9"/>
    <mergeCell ref="G9:H9"/>
  </mergeCells>
  <drawing r:id="rId1"/>
</worksheet>
</file>